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in Yuen\Desktop\MSS\"/>
    </mc:Choice>
  </mc:AlternateContent>
  <xr:revisionPtr revIDLastSave="0" documentId="13_ncr:1_{2D5231D4-E0A1-432B-8ED5-D6ED2EBFCF98}" xr6:coauthVersionLast="47" xr6:coauthVersionMax="47" xr10:uidLastSave="{00000000-0000-0000-0000-000000000000}"/>
  <bookViews>
    <workbookView xWindow="-108" yWindow="-108" windowWidth="23256" windowHeight="12576" xr2:uid="{2A9045B8-B201-409E-999F-28F0CF66EF84}"/>
  </bookViews>
  <sheets>
    <sheet name="Instruction" sheetId="2" r:id="rId1"/>
    <sheet name="Sheet1" sheetId="1"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 i="1" l="1"/>
  <c r="K14" i="1"/>
</calcChain>
</file>

<file path=xl/sharedStrings.xml><?xml version="1.0" encoding="utf-8"?>
<sst xmlns="http://schemas.openxmlformats.org/spreadsheetml/2006/main" count="109" uniqueCount="97">
  <si>
    <t>Personal Relief</t>
  </si>
  <si>
    <t>Individual and dependent relatives</t>
  </si>
  <si>
    <t>Amount (RM)</t>
  </si>
  <si>
    <t>Medical treatment, special needs and carer expenses for parents</t>
  </si>
  <si>
    <r>
      <t xml:space="preserve">OR </t>
    </r>
    <r>
      <rPr>
        <sz val="11"/>
        <color theme="1"/>
        <rFont val="Calibri"/>
        <family val="2"/>
        <scheme val="minor"/>
      </rPr>
      <t>Parent (Restricted to RM1500 for only one mother and father)</t>
    </r>
  </si>
  <si>
    <t>Basic supporting equipment for disabled self, spouse, child or parent</t>
  </si>
  <si>
    <t>Disabled Individual</t>
  </si>
  <si>
    <t>Education fees (Self)</t>
  </si>
  <si>
    <t>For more information, click here</t>
  </si>
  <si>
    <t>Medical expenses for serious diseases for self, spouse or child</t>
  </si>
  <si>
    <t>Medical expenses for fertility treatment for self or spouse</t>
  </si>
  <si>
    <t>Lifestyle – Expenses for the use / benefit of self, spouse or child and not for business use</t>
  </si>
  <si>
    <t>Lifestyle – Purchase of personal computer, smartphone or tablet for self, spouse or child and not for business use (Additional deduction for a specific period)</t>
  </si>
  <si>
    <t>Purchase of breastfeeding equipment</t>
  </si>
  <si>
    <t>Child care fees</t>
  </si>
  <si>
    <t>Net deposit in SSPN</t>
  </si>
  <si>
    <t>Husband/ wife payment of alimony</t>
  </si>
  <si>
    <t>Disabled husband/ wife</t>
  </si>
  <si>
    <t>Each unmarried child and under 19 years old</t>
  </si>
  <si>
    <t>Each unmarried child of 18 year and above who is receiving full-time education</t>
  </si>
  <si>
    <t>Each unmarried child of 18 year and above who is receiving further education</t>
  </si>
  <si>
    <t>Disabled child</t>
  </si>
  <si>
    <t>Additional exemption of RM8,000 disable child age 18 years old and above, not married and pursuing higher education</t>
  </si>
  <si>
    <t>Education and medical insurance</t>
  </si>
  <si>
    <t>Contribution to the Social Security Organization (SOCSO)</t>
  </si>
  <si>
    <t>Payment for accommodation at premises registered with the Commissioner of Tourism and entrance fee to a tourist attraction</t>
  </si>
  <si>
    <t>Deferred Annuity and Private Retirement Scheme (PRS) - with effect from year assessment 2012 until year assessment 2021</t>
  </si>
  <si>
    <t>Ticked if the item is included</t>
  </si>
  <si>
    <t>Chargeable Income</t>
  </si>
  <si>
    <t>0 - 5,000</t>
  </si>
  <si>
    <t>5,001 - 20,000</t>
  </si>
  <si>
    <t>20,001 - 35,000</t>
  </si>
  <si>
    <t>35,001 - 50,000</t>
  </si>
  <si>
    <t>50,001 - 70,000</t>
  </si>
  <si>
    <t>70,001 - 100,000</t>
  </si>
  <si>
    <t>100,001 - 250,000</t>
  </si>
  <si>
    <t>250,001 - 400,000</t>
  </si>
  <si>
    <t>400,001 - 600,000</t>
  </si>
  <si>
    <t>600,001 - 1,000,000</t>
  </si>
  <si>
    <t>1,000,001 - 2,000,000</t>
  </si>
  <si>
    <t>Exceeding 2,000,000</t>
  </si>
  <si>
    <t>Calculation</t>
  </si>
  <si>
    <t>Tax (RM)</t>
  </si>
  <si>
    <t>Rate (%)</t>
  </si>
  <si>
    <t>…...</t>
  </si>
  <si>
    <t>Business or Profession</t>
  </si>
  <si>
    <t>Employment</t>
  </si>
  <si>
    <t>Dividends</t>
  </si>
  <si>
    <t>Interest</t>
  </si>
  <si>
    <t>Discounts</t>
  </si>
  <si>
    <t>Rent</t>
  </si>
  <si>
    <t>Royalties</t>
  </si>
  <si>
    <t>Premiums</t>
  </si>
  <si>
    <t>Pensions</t>
  </si>
  <si>
    <t>Annuities</t>
  </si>
  <si>
    <t>Others</t>
  </si>
  <si>
    <t>Type of Income</t>
  </si>
  <si>
    <t>Total Income</t>
  </si>
  <si>
    <t>Insert the value of your income here, you may leave it blank for non relevant column</t>
  </si>
  <si>
    <t>Complete medical examination for self, spouse or child (Restricted to 500)</t>
  </si>
  <si>
    <r>
      <t>Life insurance and EPF </t>
    </r>
    <r>
      <rPr>
        <b/>
        <sz val="10"/>
        <color rgb="FF000000"/>
        <rFont val="Calibri"/>
        <family val="2"/>
        <scheme val="minor"/>
      </rPr>
      <t>INCLUDING</t>
    </r>
    <r>
      <rPr>
        <sz val="10"/>
        <color rgb="FF000000"/>
        <rFont val="Calibri"/>
        <family val="2"/>
        <scheme val="minor"/>
      </rPr>
      <t> not through salary deduction (i. Pensionable public servant category)</t>
    </r>
  </si>
  <si>
    <r>
      <t>ii. OTHER</t>
    </r>
    <r>
      <rPr>
        <sz val="10"/>
        <color rgb="FF000000"/>
        <rFont val="Calibri"/>
        <family val="2"/>
        <scheme val="minor"/>
      </rPr>
      <t> than pensionable public servant category (Life Insurance Premium - Restricted to RM3000)</t>
    </r>
  </si>
  <si>
    <r>
      <t>ii. OTHER</t>
    </r>
    <r>
      <rPr>
        <sz val="10"/>
        <color rgb="FF000000"/>
        <rFont val="Calibri"/>
        <family val="2"/>
        <scheme val="minor"/>
      </rPr>
      <t> than pensionable public servant category (Contribution to EPF - Restricted to RM4000)</t>
    </r>
  </si>
  <si>
    <t>The amount deducted</t>
  </si>
  <si>
    <t>The amount requested</t>
  </si>
  <si>
    <t>Total Personal Relief</t>
  </si>
  <si>
    <t>Tax On the First RM5,000</t>
  </si>
  <si>
    <t>Tax On the First RM20,000</t>
  </si>
  <si>
    <t>Tax On the First RM35,000</t>
  </si>
  <si>
    <t>Tax On the First RM50,000</t>
  </si>
  <si>
    <t>Tax On the First RM70,000</t>
  </si>
  <si>
    <t>Tax On the First RM100,000</t>
  </si>
  <si>
    <t>Tax On the First RM250,000</t>
  </si>
  <si>
    <t>Tax On the First RM400,000</t>
  </si>
  <si>
    <t>Tax On the First RM600,000</t>
  </si>
  <si>
    <t>Tax On the First RM1,000,000</t>
  </si>
  <si>
    <t>Tax On the First RM2,000,000</t>
  </si>
  <si>
    <t>Tax On the Next</t>
  </si>
  <si>
    <t>Tax On the Next RM</t>
  </si>
  <si>
    <t>Way to use this Form (Sheet 1):</t>
  </si>
  <si>
    <t>1. Ticked on the items that you would like to apply</t>
  </si>
  <si>
    <t>2. It will generate the amount that can be deducted in the column beside.</t>
  </si>
  <si>
    <t>3. Some of the item may need to fill in the quantity of applicant or amount requested, will show in the column beside it too.</t>
  </si>
  <si>
    <t>4. All the amount deducted has strictly set to its restriced amount and some message will show you an error message If you key in an invalid number.</t>
  </si>
  <si>
    <t>6. Click on the "Generate Summary" button to print the summary of your ToPay Income Tax.</t>
  </si>
  <si>
    <t>7. You may click on the "Reset All" button to clean the whole form.</t>
  </si>
  <si>
    <t>8. Have a good day to try this form. Thank you.</t>
  </si>
  <si>
    <t>Summary</t>
  </si>
  <si>
    <t>Less(-)</t>
  </si>
  <si>
    <t>Total Relief</t>
  </si>
  <si>
    <t>Chargable Income</t>
  </si>
  <si>
    <t>Add(+)</t>
  </si>
  <si>
    <t>Tax On the Next RM8951@8%</t>
  </si>
  <si>
    <t>Net Tax Payable</t>
  </si>
  <si>
    <t>You may deduct your monthly PCB deduction by the Net Tax Payable to get the to pay value, IF you have.</t>
  </si>
  <si>
    <t>5. Type in your income in the Income Table and it will auto calculated your total income.</t>
  </si>
  <si>
    <t>Important Notes!!! This is just a working sheet to calculate your ToPay income tax value. The Personal Relief table have included al types of Personal Relief that you can apply. For any updates or more informations needed, please clicked on the link attached above the table in Form (Sheet 1). This form can be a reference or quick notes for you when filling in the Form BE slip. You may need to submit your prove on your application with the actual Form BE slip. Please do not simply tick on the items that you are not supposed to apply. BE Honest.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</si>
</sst>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rgb="FF000000"/>
      <name val="Calibri"/>
      <family val="2"/>
      <scheme val="minor"/>
    </font>
    <font>
      <b/>
      <sz val="10"/>
      <color rgb="FF000000"/>
      <name val="Calibri"/>
      <family val="2"/>
      <scheme val="minor"/>
    </font>
    <font>
      <sz val="11"/>
      <color rgb="FF000000"/>
      <name val="Calibri"/>
      <family val="2"/>
    </font>
    <font>
      <sz val="11"/>
      <color rgb="FFFF0000"/>
      <name val="Calibri"/>
      <family val="2"/>
      <scheme val="minor"/>
    </font>
  </fonts>
  <fills count="3">
    <fill>
      <patternFill patternType="none"/>
    </fill>
    <fill>
      <patternFill patternType="gray125"/>
    </fill>
    <fill>
      <patternFill patternType="solid">
        <fgColor rgb="FFFFFF00"/>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0" fillId="0" borderId="0" xfId="0" applyAlignment="1">
      <alignment horizontal="left" vertical="center"/>
    </xf>
    <xf numFmtId="0" fontId="2" fillId="0" borderId="0" xfId="1" applyAlignment="1">
      <alignment horizontal="left" vertical="center"/>
    </xf>
    <xf numFmtId="0" fontId="0" fillId="0" borderId="0" xfId="0"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7" xfId="0" applyBorder="1" applyAlignment="1">
      <alignment horizontal="left" vertical="center"/>
    </xf>
    <xf numFmtId="0" fontId="0" fillId="0" borderId="8" xfId="0" applyBorder="1" applyAlignment="1">
      <alignment horizontal="left" vertical="center"/>
    </xf>
    <xf numFmtId="0" fontId="3" fillId="0" borderId="8" xfId="0" applyFont="1" applyBorder="1" applyAlignment="1">
      <alignment horizontal="left" vertical="center" wrapText="1"/>
    </xf>
    <xf numFmtId="0" fontId="3" fillId="0" borderId="8" xfId="0" applyFont="1" applyBorder="1" applyAlignment="1">
      <alignment horizontal="left" vertical="center"/>
    </xf>
    <xf numFmtId="0" fontId="0" fillId="0" borderId="0" xfId="0" applyBorder="1" applyAlignment="1">
      <alignment vertical="center"/>
    </xf>
    <xf numFmtId="0" fontId="0" fillId="0" borderId="1" xfId="0" applyBorder="1" applyAlignment="1">
      <alignment horizontal="left" vertical="center"/>
    </xf>
    <xf numFmtId="0" fontId="0" fillId="0" borderId="1" xfId="0" applyBorder="1" applyAlignment="1">
      <alignment vertical="center"/>
    </xf>
    <xf numFmtId="0" fontId="0" fillId="0" borderId="10" xfId="0" applyBorder="1" applyAlignment="1">
      <alignment vertical="center"/>
    </xf>
    <xf numFmtId="0" fontId="1" fillId="0" borderId="9" xfId="0" applyFont="1" applyBorder="1" applyAlignment="1">
      <alignment horizontal="left" vertical="center"/>
    </xf>
    <xf numFmtId="0" fontId="0" fillId="0" borderId="11" xfId="0" applyBorder="1" applyAlignment="1">
      <alignment horizontal="left" vertical="center"/>
    </xf>
    <xf numFmtId="0" fontId="0" fillId="0" borderId="12" xfId="0" applyBorder="1" applyAlignment="1">
      <alignment vertical="center"/>
    </xf>
    <xf numFmtId="0" fontId="0" fillId="0" borderId="11"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3" fillId="0" borderId="1" xfId="0" applyFont="1" applyBorder="1" applyAlignment="1">
      <alignment horizontal="left" vertical="center" wrapText="1"/>
    </xf>
    <xf numFmtId="0" fontId="0" fillId="0" borderId="8" xfId="0" applyBorder="1" applyAlignment="1">
      <alignment vertical="center"/>
    </xf>
    <xf numFmtId="0" fontId="3" fillId="0" borderId="1" xfId="0" applyFont="1" applyBorder="1" applyAlignment="1">
      <alignment horizontal="left" vertical="center"/>
    </xf>
    <xf numFmtId="0" fontId="0" fillId="0" borderId="1" xfId="0" applyBorder="1"/>
    <xf numFmtId="0" fontId="0" fillId="0" borderId="7" xfId="0" applyBorder="1"/>
    <xf numFmtId="0" fontId="0" fillId="0" borderId="8" xfId="0" applyBorder="1"/>
    <xf numFmtId="0" fontId="0" fillId="0" borderId="9" xfId="0" applyBorder="1"/>
    <xf numFmtId="0" fontId="0" fillId="0" borderId="13" xfId="0" applyBorder="1"/>
    <xf numFmtId="0" fontId="0" fillId="0" borderId="13" xfId="0" applyBorder="1" applyAlignment="1">
      <alignment horizontal="left" vertical="center" wrapText="1"/>
    </xf>
    <xf numFmtId="3" fontId="0" fillId="0" borderId="13" xfId="0" applyNumberFormat="1" applyBorder="1" applyAlignment="1">
      <alignment horizontal="left" vertical="center" wrapText="1"/>
    </xf>
    <xf numFmtId="0" fontId="0" fillId="0" borderId="0" xfId="0" applyBorder="1"/>
    <xf numFmtId="0" fontId="0" fillId="0" borderId="20" xfId="0" applyBorder="1"/>
    <xf numFmtId="0" fontId="0" fillId="0" borderId="13" xfId="0" applyBorder="1" applyAlignment="1">
      <alignment horizontal="left" vertical="center" wrapText="1"/>
    </xf>
    <xf numFmtId="0" fontId="0" fillId="0" borderId="0" xfId="0" applyFill="1"/>
    <xf numFmtId="0" fontId="0" fillId="0" borderId="12" xfId="0" applyFill="1" applyBorder="1" applyAlignment="1">
      <alignment vertical="center"/>
    </xf>
    <xf numFmtId="0" fontId="0" fillId="0" borderId="10" xfId="0" applyFill="1" applyBorder="1" applyAlignment="1">
      <alignment vertical="center"/>
    </xf>
    <xf numFmtId="0" fontId="3" fillId="0" borderId="21" xfId="0" applyFont="1" applyBorder="1" applyAlignment="1">
      <alignment horizontal="left" vertical="center" wrapText="1"/>
    </xf>
    <xf numFmtId="0" fontId="3" fillId="0" borderId="9" xfId="0" applyFont="1" applyFill="1" applyBorder="1" applyAlignment="1">
      <alignment wrapText="1"/>
    </xf>
    <xf numFmtId="0" fontId="3" fillId="0" borderId="11" xfId="0" applyFont="1" applyBorder="1" applyAlignment="1">
      <alignment horizontal="left" vertical="center" wrapText="1"/>
    </xf>
    <xf numFmtId="0" fontId="4" fillId="0" borderId="14" xfId="0" applyFont="1" applyBorder="1" applyAlignment="1">
      <alignment horizontal="left" wrapText="1"/>
    </xf>
    <xf numFmtId="0" fontId="4" fillId="0" borderId="15" xfId="0" applyFont="1" applyBorder="1" applyAlignment="1">
      <alignment wrapText="1"/>
    </xf>
    <xf numFmtId="0" fontId="0" fillId="0" borderId="4" xfId="0" applyBorder="1"/>
    <xf numFmtId="0" fontId="0" fillId="0" borderId="6" xfId="0" applyBorder="1"/>
    <xf numFmtId="0" fontId="0" fillId="0" borderId="23" xfId="0" applyBorder="1"/>
    <xf numFmtId="0" fontId="0" fillId="0" borderId="26" xfId="0" applyBorder="1" applyAlignment="1">
      <alignment vertical="center"/>
    </xf>
    <xf numFmtId="0" fontId="0" fillId="0" borderId="26" xfId="0" applyBorder="1"/>
    <xf numFmtId="0" fontId="0" fillId="0" borderId="19" xfId="0" applyBorder="1"/>
    <xf numFmtId="0" fontId="0" fillId="0" borderId="22" xfId="0" applyBorder="1"/>
    <xf numFmtId="0" fontId="0" fillId="0" borderId="16" xfId="0" applyBorder="1" applyAlignment="1">
      <alignment vertical="center"/>
    </xf>
    <xf numFmtId="0" fontId="0" fillId="0" borderId="23" xfId="0" applyBorder="1" applyAlignment="1">
      <alignment vertical="center"/>
    </xf>
    <xf numFmtId="0" fontId="0" fillId="0" borderId="14" xfId="0" applyBorder="1"/>
    <xf numFmtId="0" fontId="2" fillId="0" borderId="8" xfId="1" applyBorder="1" applyAlignment="1">
      <alignment horizontal="left" vertical="center" wrapText="1"/>
    </xf>
    <xf numFmtId="0" fontId="0" fillId="0" borderId="7" xfId="0" applyBorder="1" applyAlignment="1">
      <alignment wrapText="1"/>
    </xf>
    <xf numFmtId="0" fontId="0" fillId="0" borderId="25" xfId="0" applyBorder="1"/>
    <xf numFmtId="0" fontId="0" fillId="0" borderId="9" xfId="0" applyBorder="1" applyAlignment="1">
      <alignment wrapText="1"/>
    </xf>
    <xf numFmtId="0" fontId="0" fillId="0" borderId="17" xfId="0" applyBorder="1"/>
    <xf numFmtId="0" fontId="0" fillId="0" borderId="14" xfId="0" applyBorder="1" applyAlignment="1">
      <alignment wrapText="1"/>
    </xf>
    <xf numFmtId="0" fontId="0" fillId="0" borderId="1" xfId="0" applyFill="1" applyBorder="1"/>
    <xf numFmtId="0" fontId="0" fillId="0" borderId="23" xfId="0" applyFill="1" applyBorder="1"/>
    <xf numFmtId="0" fontId="0" fillId="0" borderId="0" xfId="0" applyBorder="1" applyAlignment="1"/>
    <xf numFmtId="0" fontId="6" fillId="0" borderId="0" xfId="0" applyFont="1" applyAlignment="1">
      <alignment wrapText="1"/>
    </xf>
    <xf numFmtId="0" fontId="0" fillId="2" borderId="19" xfId="0" applyFill="1" applyBorder="1" applyAlignment="1">
      <alignment horizontal="right"/>
    </xf>
    <xf numFmtId="0" fontId="0" fillId="2" borderId="22" xfId="0" applyFill="1" applyBorder="1" applyAlignment="1">
      <alignment horizontal="right"/>
    </xf>
    <xf numFmtId="0" fontId="0" fillId="0" borderId="19" xfId="0" applyBorder="1" applyAlignment="1">
      <alignment horizontal="left" wrapText="1"/>
    </xf>
    <xf numFmtId="0" fontId="0" fillId="0" borderId="22" xfId="0" applyBorder="1" applyAlignment="1">
      <alignment horizontal="left" wrapText="1"/>
    </xf>
    <xf numFmtId="0" fontId="0" fillId="0" borderId="12" xfId="0" applyBorder="1" applyAlignment="1">
      <alignment horizontal="right" vertical="center"/>
    </xf>
    <xf numFmtId="0" fontId="0" fillId="0" borderId="23" xfId="0" applyBorder="1" applyAlignment="1">
      <alignment horizontal="right" vertical="center"/>
    </xf>
    <xf numFmtId="0" fontId="0" fillId="0" borderId="27" xfId="0" applyBorder="1" applyAlignment="1">
      <alignment horizontal="right" vertical="center"/>
    </xf>
    <xf numFmtId="0" fontId="0" fillId="0" borderId="24" xfId="0" applyBorder="1" applyAlignment="1">
      <alignment horizontal="right" vertical="center"/>
    </xf>
    <xf numFmtId="0" fontId="0" fillId="0" borderId="28" xfId="0" applyBorder="1" applyAlignment="1">
      <alignment horizontal="right" vertical="center"/>
    </xf>
    <xf numFmtId="0" fontId="0" fillId="0" borderId="7" xfId="0" applyBorder="1" applyAlignment="1">
      <alignment horizontal="right" vertical="center"/>
    </xf>
    <xf numFmtId="0" fontId="0" fillId="0" borderId="9" xfId="0" applyBorder="1" applyAlignment="1">
      <alignment horizontal="right" vertical="center"/>
    </xf>
    <xf numFmtId="0" fontId="0" fillId="0" borderId="2" xfId="0" applyBorder="1" applyAlignment="1">
      <alignment horizontal="right" vertical="center"/>
    </xf>
    <xf numFmtId="0" fontId="0" fillId="0" borderId="4" xfId="0" applyBorder="1" applyAlignment="1">
      <alignment horizontal="right" vertical="center"/>
    </xf>
    <xf numFmtId="0" fontId="0" fillId="0" borderId="6" xfId="0" applyBorder="1" applyAlignment="1">
      <alignment horizontal="right" vertical="center"/>
    </xf>
    <xf numFmtId="0" fontId="0" fillId="0" borderId="8" xfId="0" applyBorder="1" applyAlignment="1">
      <alignment horizontal="right" vertical="center"/>
    </xf>
    <xf numFmtId="0" fontId="0" fillId="0" borderId="19" xfId="0" applyBorder="1" applyAlignment="1">
      <alignment horizontal="right"/>
    </xf>
    <xf numFmtId="0" fontId="0" fillId="0" borderId="22" xfId="0" applyBorder="1" applyAlignment="1">
      <alignment horizontal="righ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checked="Checked" fmlaLink="$F$7" lockText="1" noThreeD="1"/>
</file>

<file path=xl/ctrlProps/ctrlProp2.xml><?xml version="1.0" encoding="utf-8"?>
<formControlPr xmlns="http://schemas.microsoft.com/office/spreadsheetml/2009/9/main" objectType="CheckBox" fmlaLink="F8" lockText="1" noThreeD="1"/>
</file>

<file path=xl/ctrlProps/ctrlProp3.xml><?xml version="1.0" encoding="utf-8"?>
<formControlPr xmlns="http://schemas.microsoft.com/office/spreadsheetml/2009/9/main" objectType="CheckBox" fmlaLink="F10" lockText="1" noThreeD="1"/>
</file>

<file path=xl/ctrlProps/ctrlProp4.xml><?xml version="1.0" encoding="utf-8"?>
<formControlPr xmlns="http://schemas.microsoft.com/office/spreadsheetml/2009/9/main" objectType="CheckBox" fmlaLink="F11" lockText="1" noThreeD="1"/>
</file>

<file path=xl/ctrlProps/ctrlProp5.xml><?xml version="1.0" encoding="utf-8"?>
<formControlPr xmlns="http://schemas.microsoft.com/office/spreadsheetml/2009/9/main" objectType="CheckBox" fmlaLink="F12" lockText="1" noThreeD="1"/>
</file>

<file path=xl/ctrlProps/ctrlProp6.xml><?xml version="1.0" encoding="utf-8"?>
<formControlPr xmlns="http://schemas.microsoft.com/office/spreadsheetml/2009/9/main" objectType="CheckBox" fmlaLink="F16" lockText="1" noThreeD="1"/>
</file>

<file path=xl/ctrlProps/ctrlProp7.xml><?xml version="1.0" encoding="utf-8"?>
<formControlPr xmlns="http://schemas.microsoft.com/office/spreadsheetml/2009/9/main" objectType="CheckBox" fmlaLink="F14" lockText="1" noThreeD="1"/>
</file>

<file path=xl/ctrlProps/ctrlProp8.xml><?xml version="1.0" encoding="utf-8"?>
<formControlPr xmlns="http://schemas.microsoft.com/office/spreadsheetml/2009/9/main" objectType="CheckBox" checked="Checked" fmlaLink="F17" lockText="1" noThreeD="1"/>
</file>

<file path=xl/ctrlProps/ctrlProp9.xml><?xml version="1.0" encoding="utf-8"?>
<formControlPr xmlns="http://schemas.microsoft.com/office/spreadsheetml/2009/9/main" objectType="CheckBox" fmlaLink="F18" lockText="1" noThreeD="1"/>
</file>

<file path=xl/ctrlProps/ctrlProp10.xml><?xml version="1.0" encoding="utf-8"?>
<formControlPr xmlns="http://schemas.microsoft.com/office/spreadsheetml/2009/9/main" objectType="CheckBox" fmlaLink="F19" lockText="1" noThreeD="1"/>
</file>

<file path=xl/ctrlProps/ctrlProp11.xml><?xml version="1.0" encoding="utf-8"?>
<formControlPr xmlns="http://schemas.microsoft.com/office/spreadsheetml/2009/9/main" objectType="CheckBox" fmlaLink="F20" lockText="1" noThreeD="1"/>
</file>

<file path=xl/ctrlProps/ctrlProp12.xml><?xml version="1.0" encoding="utf-8"?>
<formControlPr xmlns="http://schemas.microsoft.com/office/spreadsheetml/2009/9/main" objectType="CheckBox" fmlaLink="F21" lockText="1" noThreeD="1"/>
</file>

<file path=xl/ctrlProps/ctrlProp13.xml><?xml version="1.0" encoding="utf-8"?>
<formControlPr xmlns="http://schemas.microsoft.com/office/spreadsheetml/2009/9/main" objectType="CheckBox" fmlaLink="F22" lockText="1" noThreeD="1"/>
</file>

<file path=xl/ctrlProps/ctrlProp14.xml><?xml version="1.0" encoding="utf-8"?>
<formControlPr xmlns="http://schemas.microsoft.com/office/spreadsheetml/2009/9/main" objectType="CheckBox" fmlaLink="F23" lockText="1" noThreeD="1"/>
</file>

<file path=xl/ctrlProps/ctrlProp15.xml><?xml version="1.0" encoding="utf-8"?>
<formControlPr xmlns="http://schemas.microsoft.com/office/spreadsheetml/2009/9/main" objectType="CheckBox" fmlaLink="F24" lockText="1" noThreeD="1"/>
</file>

<file path=xl/ctrlProps/ctrlProp16.xml><?xml version="1.0" encoding="utf-8"?>
<formControlPr xmlns="http://schemas.microsoft.com/office/spreadsheetml/2009/9/main" objectType="CheckBox" checked="Checked" fmlaLink="F25" lockText="1" noThreeD="1"/>
</file>

<file path=xl/ctrlProps/ctrlProp17.xml><?xml version="1.0" encoding="utf-8"?>
<formControlPr xmlns="http://schemas.microsoft.com/office/spreadsheetml/2009/9/main" objectType="CheckBox" fmlaLink="F26" lockText="1" noThreeD="1"/>
</file>

<file path=xl/ctrlProps/ctrlProp18.xml><?xml version="1.0" encoding="utf-8"?>
<formControlPr xmlns="http://schemas.microsoft.com/office/spreadsheetml/2009/9/main" objectType="CheckBox" fmlaLink="F27" lockText="1" noThreeD="1"/>
</file>

<file path=xl/ctrlProps/ctrlProp19.xml><?xml version="1.0" encoding="utf-8"?>
<formControlPr xmlns="http://schemas.microsoft.com/office/spreadsheetml/2009/9/main" objectType="CheckBox" fmlaLink="F31" lockText="1" noThreeD="1"/>
</file>

<file path=xl/ctrlProps/ctrlProp20.xml><?xml version="1.0" encoding="utf-8"?>
<formControlPr xmlns="http://schemas.microsoft.com/office/spreadsheetml/2009/9/main" objectType="CheckBox" fmlaLink="F28" lockText="1" noThreeD="1"/>
</file>

<file path=xl/ctrlProps/ctrlProp21.xml><?xml version="1.0" encoding="utf-8"?>
<formControlPr xmlns="http://schemas.microsoft.com/office/spreadsheetml/2009/9/main" objectType="CheckBox" checked="Checked" fmlaLink="F32" lockText="1" noThreeD="1"/>
</file>

<file path=xl/ctrlProps/ctrlProp22.xml><?xml version="1.0" encoding="utf-8"?>
<formControlPr xmlns="http://schemas.microsoft.com/office/spreadsheetml/2009/9/main" objectType="CheckBox" checked="Checked" fmlaLink="F33" lockText="1" noThreeD="1"/>
</file>

<file path=xl/ctrlProps/ctrlProp23.xml><?xml version="1.0" encoding="utf-8"?>
<formControlPr xmlns="http://schemas.microsoft.com/office/spreadsheetml/2009/9/main" objectType="CheckBox" fmlaLink="F34" lockText="1" noThreeD="1"/>
</file>

<file path=xl/ctrlProps/ctrlProp24.xml><?xml version="1.0" encoding="utf-8"?>
<formControlPr xmlns="http://schemas.microsoft.com/office/spreadsheetml/2009/9/main" objectType="CheckBox" fmlaLink="F15" lockText="1" noThreeD="1"/>
</file>

<file path=xl/ctrlProps/ctrlProp25.xml><?xml version="1.0" encoding="utf-8"?>
<formControlPr xmlns="http://schemas.microsoft.com/office/spreadsheetml/2009/9/main" objectType="CheckBox" fmlaLink="F9" lockText="1" noThreeD="1"/>
</file>

<file path=xl/ctrlProps/ctrlProp26.xml><?xml version="1.0" encoding="utf-8"?>
<formControlPr xmlns="http://schemas.microsoft.com/office/spreadsheetml/2009/9/main" objectType="CheckBox" checked="Checked" fmlaLink="F29" lockText="1" noThreeD="1"/>
</file>

<file path=xl/ctrlProps/ctrlProp27.xml><?xml version="1.0" encoding="utf-8"?>
<formControlPr xmlns="http://schemas.microsoft.com/office/spreadsheetml/2009/9/main" objectType="CheckBox" checked="Checked" fmlaLink="F30"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xdr:colOff>
          <xdr:row>5</xdr:row>
          <xdr:rowOff>182880</xdr:rowOff>
        </xdr:from>
        <xdr:to>
          <xdr:col>4</xdr:col>
          <xdr:colOff>342900</xdr:colOff>
          <xdr:row>7</xdr:row>
          <xdr:rowOff>22860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6</xdr:row>
          <xdr:rowOff>175260</xdr:rowOff>
        </xdr:from>
        <xdr:to>
          <xdr:col>4</xdr:col>
          <xdr:colOff>342900</xdr:colOff>
          <xdr:row>8</xdr:row>
          <xdr:rowOff>22860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8</xdr:row>
          <xdr:rowOff>182880</xdr:rowOff>
        </xdr:from>
        <xdr:to>
          <xdr:col>4</xdr:col>
          <xdr:colOff>342900</xdr:colOff>
          <xdr:row>10</xdr:row>
          <xdr:rowOff>22860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9</xdr:row>
          <xdr:rowOff>175260</xdr:rowOff>
        </xdr:from>
        <xdr:to>
          <xdr:col>4</xdr:col>
          <xdr:colOff>342900</xdr:colOff>
          <xdr:row>11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10</xdr:row>
          <xdr:rowOff>175260</xdr:rowOff>
        </xdr:from>
        <xdr:to>
          <xdr:col>4</xdr:col>
          <xdr:colOff>342900</xdr:colOff>
          <xdr:row>12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15</xdr:row>
          <xdr:rowOff>76200</xdr:rowOff>
        </xdr:from>
        <xdr:to>
          <xdr:col>4</xdr:col>
          <xdr:colOff>342900</xdr:colOff>
          <xdr:row>15</xdr:row>
          <xdr:rowOff>297180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12</xdr:row>
          <xdr:rowOff>167640</xdr:rowOff>
        </xdr:from>
        <xdr:to>
          <xdr:col>4</xdr:col>
          <xdr:colOff>342900</xdr:colOff>
          <xdr:row>14</xdr:row>
          <xdr:rowOff>22860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16</xdr:row>
          <xdr:rowOff>175260</xdr:rowOff>
        </xdr:from>
        <xdr:to>
          <xdr:col>4</xdr:col>
          <xdr:colOff>342900</xdr:colOff>
          <xdr:row>16</xdr:row>
          <xdr:rowOff>396240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16</xdr:row>
          <xdr:rowOff>541020</xdr:rowOff>
        </xdr:from>
        <xdr:to>
          <xdr:col>4</xdr:col>
          <xdr:colOff>342900</xdr:colOff>
          <xdr:row>18</xdr:row>
          <xdr:rowOff>22860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17</xdr:row>
          <xdr:rowOff>175260</xdr:rowOff>
        </xdr:from>
        <xdr:to>
          <xdr:col>4</xdr:col>
          <xdr:colOff>342900</xdr:colOff>
          <xdr:row>19</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18</xdr:row>
          <xdr:rowOff>175260</xdr:rowOff>
        </xdr:from>
        <xdr:to>
          <xdr:col>4</xdr:col>
          <xdr:colOff>342900</xdr:colOff>
          <xdr:row>20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19</xdr:row>
          <xdr:rowOff>182880</xdr:rowOff>
        </xdr:from>
        <xdr:to>
          <xdr:col>4</xdr:col>
          <xdr:colOff>342900</xdr:colOff>
          <xdr:row>21</xdr:row>
          <xdr:rowOff>22860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20</xdr:row>
          <xdr:rowOff>175260</xdr:rowOff>
        </xdr:from>
        <xdr:to>
          <xdr:col>4</xdr:col>
          <xdr:colOff>342900</xdr:colOff>
          <xdr:row>22</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21</xdr:row>
          <xdr:rowOff>182880</xdr:rowOff>
        </xdr:from>
        <xdr:to>
          <xdr:col>4</xdr:col>
          <xdr:colOff>342900</xdr:colOff>
          <xdr:row>23</xdr:row>
          <xdr:rowOff>22860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22</xdr:row>
          <xdr:rowOff>182880</xdr:rowOff>
        </xdr:from>
        <xdr:to>
          <xdr:col>4</xdr:col>
          <xdr:colOff>342900</xdr:colOff>
          <xdr:row>24</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23</xdr:row>
          <xdr:rowOff>182880</xdr:rowOff>
        </xdr:from>
        <xdr:to>
          <xdr:col>4</xdr:col>
          <xdr:colOff>342900</xdr:colOff>
          <xdr:row>25</xdr:row>
          <xdr:rowOff>22860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24</xdr:row>
          <xdr:rowOff>167640</xdr:rowOff>
        </xdr:from>
        <xdr:to>
          <xdr:col>4</xdr:col>
          <xdr:colOff>342900</xdr:colOff>
          <xdr:row>26</xdr:row>
          <xdr:rowOff>7620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26</xdr:row>
          <xdr:rowOff>83820</xdr:rowOff>
        </xdr:from>
        <xdr:to>
          <xdr:col>4</xdr:col>
          <xdr:colOff>342900</xdr:colOff>
          <xdr:row>26</xdr:row>
          <xdr:rowOff>304800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30</xdr:row>
          <xdr:rowOff>60960</xdr:rowOff>
        </xdr:from>
        <xdr:to>
          <xdr:col>4</xdr:col>
          <xdr:colOff>342900</xdr:colOff>
          <xdr:row>30</xdr:row>
          <xdr:rowOff>304800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27</xdr:row>
          <xdr:rowOff>76200</xdr:rowOff>
        </xdr:from>
        <xdr:to>
          <xdr:col>4</xdr:col>
          <xdr:colOff>342900</xdr:colOff>
          <xdr:row>27</xdr:row>
          <xdr:rowOff>297180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0</xdr:rowOff>
        </xdr:from>
        <xdr:to>
          <xdr:col>4</xdr:col>
          <xdr:colOff>342900</xdr:colOff>
          <xdr:row>32</xdr:row>
          <xdr:rowOff>30480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175260</xdr:rowOff>
        </xdr:from>
        <xdr:to>
          <xdr:col>4</xdr:col>
          <xdr:colOff>342900</xdr:colOff>
          <xdr:row>33</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33</xdr:row>
          <xdr:rowOff>45720</xdr:rowOff>
        </xdr:from>
        <xdr:to>
          <xdr:col>4</xdr:col>
          <xdr:colOff>342900</xdr:colOff>
          <xdr:row>33</xdr:row>
          <xdr:rowOff>297180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13</xdr:row>
          <xdr:rowOff>167640</xdr:rowOff>
        </xdr:from>
        <xdr:to>
          <xdr:col>4</xdr:col>
          <xdr:colOff>342900</xdr:colOff>
          <xdr:row>15</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xdr:row>
          <xdr:rowOff>167640</xdr:rowOff>
        </xdr:from>
        <xdr:to>
          <xdr:col>4</xdr:col>
          <xdr:colOff>342900</xdr:colOff>
          <xdr:row>9</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60960</xdr:rowOff>
        </xdr:from>
        <xdr:to>
          <xdr:col>4</xdr:col>
          <xdr:colOff>350520</xdr:colOff>
          <xdr:row>28</xdr:row>
          <xdr:rowOff>281940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68580</xdr:rowOff>
        </xdr:from>
        <xdr:to>
          <xdr:col>4</xdr:col>
          <xdr:colOff>350520</xdr:colOff>
          <xdr:row>29</xdr:row>
          <xdr:rowOff>289560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xdr:colOff>
          <xdr:row>15</xdr:row>
          <xdr:rowOff>15240</xdr:rowOff>
        </xdr:from>
        <xdr:to>
          <xdr:col>9</xdr:col>
          <xdr:colOff>1272540</xdr:colOff>
          <xdr:row>15</xdr:row>
          <xdr:rowOff>335280</xdr:rowOff>
        </xdr:to>
        <xdr:sp macro="" textlink="">
          <xdr:nvSpPr>
            <xdr:cNvPr id="1091" name="Generate Summary" descr="Generate Summary"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Generate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281940</xdr:colOff>
          <xdr:row>16</xdr:row>
          <xdr:rowOff>121920</xdr:rowOff>
        </xdr:from>
        <xdr:to>
          <xdr:col>9</xdr:col>
          <xdr:colOff>1074420</xdr:colOff>
          <xdr:row>16</xdr:row>
          <xdr:rowOff>419100</xdr:rowOff>
        </xdr:to>
        <xdr:sp macro="" textlink="">
          <xdr:nvSpPr>
            <xdr:cNvPr id="1093" name="Reset All"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Reset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hyperlink" Target="http://www.motac.gov.my/en/check/registered-hotel" TargetMode="Externa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http://www.hasil.gov.my/bt_goindex.php?bt_kump=5&amp;bt_skum=1&amp;bt_posi=3&amp;bt_unit=1&amp;bt_sequ=1&amp;bt_lgv=2"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DAE3-28D3-42D9-A0CC-65636F9018B9}">
  <sheetPr codeName="Sheet2">
    <tabColor rgb="FFFF0000"/>
  </sheetPr>
  <dimension ref="B2:B11"/>
  <sheetViews>
    <sheetView tabSelected="1" workbookViewId="0">
      <selection activeCell="B5" sqref="B5"/>
    </sheetView>
  </sheetViews>
  <sheetFormatPr defaultRowHeight="14.4" x14ac:dyDescent="0.3"/>
  <cols>
    <col min="2" max="2" width="159.5546875" bestFit="1" customWidth="1"/>
  </cols>
  <sheetData>
    <row r="2" spans="2:2" ht="43.2" customHeight="1" x14ac:dyDescent="0.3">
      <c r="B2" s="65" t="s">
        <v>96</v>
      </c>
    </row>
    <row r="3" spans="2:2" x14ac:dyDescent="0.3">
      <c r="B3" t="s">
        <v>79</v>
      </c>
    </row>
    <row r="4" spans="2:2" x14ac:dyDescent="0.3">
      <c r="B4" t="s">
        <v>80</v>
      </c>
    </row>
    <row r="5" spans="2:2" x14ac:dyDescent="0.3">
      <c r="B5" t="s">
        <v>81</v>
      </c>
    </row>
    <row r="6" spans="2:2" x14ac:dyDescent="0.3">
      <c r="B6" t="s">
        <v>82</v>
      </c>
    </row>
    <row r="7" spans="2:2" x14ac:dyDescent="0.3">
      <c r="B7" t="s">
        <v>83</v>
      </c>
    </row>
    <row r="8" spans="2:2" x14ac:dyDescent="0.3">
      <c r="B8" t="s">
        <v>95</v>
      </c>
    </row>
    <row r="9" spans="2:2" x14ac:dyDescent="0.3">
      <c r="B9" t="s">
        <v>84</v>
      </c>
    </row>
    <row r="10" spans="2:2" x14ac:dyDescent="0.3">
      <c r="B10" t="s">
        <v>85</v>
      </c>
    </row>
    <row r="11" spans="2:2" x14ac:dyDescent="0.3">
      <c r="B11"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8128D-73A9-4258-B4A2-6F0A6AFBA2BF}">
  <sheetPr codeName="Sheet1"/>
  <dimension ref="B2:R59"/>
  <sheetViews>
    <sheetView topLeftCell="B1" workbookViewId="0">
      <selection activeCell="K5" sqref="K5:L5"/>
    </sheetView>
  </sheetViews>
  <sheetFormatPr defaultRowHeight="14.4" x14ac:dyDescent="0.3"/>
  <cols>
    <col min="1" max="1" width="6.5546875" customWidth="1"/>
    <col min="2" max="2" width="6.5546875" style="3" customWidth="1"/>
    <col min="3" max="3" width="66.109375" style="1" bestFit="1" customWidth="1"/>
    <col min="4" max="4" width="11.77734375" style="3" bestFit="1" customWidth="1"/>
    <col min="5" max="5" width="24.21875" customWidth="1"/>
    <col min="6" max="6" width="8.88671875" hidden="1" customWidth="1"/>
    <col min="7" max="7" width="19" bestFit="1" customWidth="1"/>
    <col min="8" max="8" width="19.5546875" bestFit="1" customWidth="1"/>
    <col min="10" max="10" width="19.33203125" bestFit="1" customWidth="1"/>
    <col min="11" max="11" width="11.109375" customWidth="1"/>
    <col min="12" max="12" width="28" customWidth="1"/>
    <col min="13" max="13" width="11.109375" customWidth="1"/>
  </cols>
  <sheetData>
    <row r="2" spans="2:18" ht="28.2" customHeight="1" x14ac:dyDescent="0.3">
      <c r="J2" s="32" t="s">
        <v>56</v>
      </c>
      <c r="K2" s="68" t="s">
        <v>58</v>
      </c>
      <c r="L2" s="69"/>
      <c r="M2" s="64"/>
      <c r="N2" s="64"/>
      <c r="O2" s="64"/>
      <c r="P2" s="64"/>
      <c r="Q2" s="64"/>
      <c r="R2" s="64"/>
    </row>
    <row r="3" spans="2:18" x14ac:dyDescent="0.3">
      <c r="J3" s="32" t="s">
        <v>45</v>
      </c>
      <c r="K3" s="66"/>
      <c r="L3" s="67"/>
      <c r="M3" s="36"/>
      <c r="N3" s="35"/>
      <c r="O3" s="35"/>
      <c r="P3" s="35"/>
      <c r="Q3" s="35"/>
    </row>
    <row r="4" spans="2:18" x14ac:dyDescent="0.3">
      <c r="J4" s="32" t="s">
        <v>46</v>
      </c>
      <c r="K4" s="66">
        <v>74300</v>
      </c>
      <c r="L4" s="67"/>
      <c r="M4" s="36"/>
      <c r="N4" s="35"/>
      <c r="O4" s="35"/>
      <c r="P4" s="35"/>
      <c r="Q4" s="35"/>
    </row>
    <row r="5" spans="2:18" ht="15" thickBot="1" x14ac:dyDescent="0.35">
      <c r="C5" s="2" t="s">
        <v>8</v>
      </c>
      <c r="J5" s="32" t="s">
        <v>47</v>
      </c>
      <c r="K5" s="66"/>
      <c r="L5" s="67"/>
      <c r="M5" s="36"/>
      <c r="N5" s="35"/>
      <c r="O5" s="35"/>
      <c r="P5" s="35"/>
      <c r="Q5" s="35"/>
    </row>
    <row r="6" spans="2:18" ht="15" thickBot="1" x14ac:dyDescent="0.35">
      <c r="B6" s="12"/>
      <c r="C6" s="13" t="s">
        <v>0</v>
      </c>
      <c r="D6" s="14" t="s">
        <v>2</v>
      </c>
      <c r="E6" s="29" t="s">
        <v>27</v>
      </c>
      <c r="G6" s="29" t="s">
        <v>63</v>
      </c>
      <c r="H6" s="29" t="s">
        <v>64</v>
      </c>
      <c r="J6" s="32" t="s">
        <v>48</v>
      </c>
      <c r="K6" s="66"/>
      <c r="L6" s="67"/>
      <c r="M6" s="36"/>
      <c r="N6" s="35"/>
      <c r="O6" s="35"/>
      <c r="P6" s="35"/>
      <c r="Q6" s="35"/>
    </row>
    <row r="7" spans="2:18" ht="15" thickBot="1" x14ac:dyDescent="0.35">
      <c r="B7" s="14">
        <v>1</v>
      </c>
      <c r="C7" s="13" t="s">
        <v>1</v>
      </c>
      <c r="D7" s="15">
        <v>9000</v>
      </c>
      <c r="E7" s="28"/>
      <c r="F7" s="48" t="b">
        <v>1</v>
      </c>
      <c r="G7" s="28">
        <v>9000</v>
      </c>
      <c r="H7" s="28"/>
      <c r="J7" s="32" t="s">
        <v>49</v>
      </c>
      <c r="K7" s="66"/>
      <c r="L7" s="67"/>
      <c r="M7" s="36"/>
      <c r="N7" s="35"/>
      <c r="O7" s="35"/>
      <c r="P7" s="35"/>
      <c r="Q7" s="35"/>
    </row>
    <row r="8" spans="2:18" x14ac:dyDescent="0.3">
      <c r="B8" s="75">
        <v>2</v>
      </c>
      <c r="C8" s="17" t="s">
        <v>3</v>
      </c>
      <c r="D8" s="53">
        <v>5000</v>
      </c>
      <c r="E8" s="29"/>
      <c r="F8" t="b">
        <v>0</v>
      </c>
      <c r="G8" s="46"/>
      <c r="H8" s="29"/>
      <c r="J8" s="32" t="s">
        <v>50</v>
      </c>
      <c r="K8" s="66"/>
      <c r="L8" s="67"/>
      <c r="M8" s="36"/>
      <c r="N8" s="35"/>
      <c r="O8" s="35"/>
      <c r="P8" s="35"/>
      <c r="Q8" s="35"/>
    </row>
    <row r="9" spans="2:18" ht="15" thickBot="1" x14ac:dyDescent="0.35">
      <c r="B9" s="76"/>
      <c r="C9" s="16" t="s">
        <v>4</v>
      </c>
      <c r="D9" s="49">
        <v>3000</v>
      </c>
      <c r="E9" s="55"/>
      <c r="F9" s="52" t="b">
        <v>0</v>
      </c>
      <c r="G9" s="51"/>
      <c r="H9" s="55"/>
      <c r="J9" s="32" t="s">
        <v>51</v>
      </c>
      <c r="K9" s="66"/>
      <c r="L9" s="67"/>
      <c r="M9" s="36"/>
      <c r="N9" s="35"/>
      <c r="O9" s="35"/>
      <c r="P9" s="35"/>
      <c r="Q9" s="35"/>
    </row>
    <row r="10" spans="2:18" ht="15" thickBot="1" x14ac:dyDescent="0.35">
      <c r="B10" s="18">
        <v>3</v>
      </c>
      <c r="C10" s="13" t="s">
        <v>5</v>
      </c>
      <c r="D10" s="54">
        <v>6000</v>
      </c>
      <c r="E10" s="31"/>
      <c r="F10" s="50" t="b">
        <v>0</v>
      </c>
      <c r="G10" s="47"/>
      <c r="H10" s="31"/>
      <c r="J10" s="32" t="s">
        <v>52</v>
      </c>
      <c r="K10" s="66"/>
      <c r="L10" s="67"/>
      <c r="M10" s="36"/>
      <c r="N10" s="35"/>
      <c r="O10" s="35"/>
      <c r="P10" s="35"/>
      <c r="Q10" s="35"/>
    </row>
    <row r="11" spans="2:18" ht="15" thickBot="1" x14ac:dyDescent="0.35">
      <c r="B11" s="18">
        <v>4</v>
      </c>
      <c r="C11" s="13" t="s">
        <v>6</v>
      </c>
      <c r="D11" s="15">
        <v>6000</v>
      </c>
      <c r="E11" s="30"/>
      <c r="F11" t="b">
        <v>0</v>
      </c>
      <c r="G11" s="30"/>
      <c r="H11" s="30"/>
      <c r="J11" s="32" t="s">
        <v>53</v>
      </c>
      <c r="K11" s="66"/>
      <c r="L11" s="67"/>
      <c r="M11" s="36"/>
      <c r="N11" s="35"/>
      <c r="O11" s="35"/>
      <c r="P11" s="35"/>
      <c r="Q11" s="35"/>
    </row>
    <row r="12" spans="2:18" ht="15" thickBot="1" x14ac:dyDescent="0.35">
      <c r="B12" s="4">
        <v>5</v>
      </c>
      <c r="C12" s="8" t="s">
        <v>7</v>
      </c>
      <c r="D12" s="5">
        <v>7000</v>
      </c>
      <c r="E12" s="28"/>
      <c r="F12" s="48" t="b">
        <v>0</v>
      </c>
      <c r="G12" s="28"/>
      <c r="H12" s="28"/>
      <c r="J12" s="32" t="s">
        <v>54</v>
      </c>
      <c r="K12" s="66"/>
      <c r="L12" s="67"/>
      <c r="M12" s="36"/>
      <c r="N12" s="35"/>
      <c r="O12" s="35"/>
      <c r="P12" s="35"/>
      <c r="Q12" s="35"/>
    </row>
    <row r="13" spans="2:18" x14ac:dyDescent="0.3">
      <c r="B13" s="19">
        <v>6</v>
      </c>
      <c r="C13" s="22" t="s">
        <v>9</v>
      </c>
      <c r="D13" s="72">
        <v>6000</v>
      </c>
      <c r="E13" s="57"/>
      <c r="F13" s="58" t="b">
        <v>0</v>
      </c>
      <c r="G13" s="29"/>
      <c r="H13" s="29"/>
      <c r="J13" s="32" t="s">
        <v>55</v>
      </c>
      <c r="K13" s="66"/>
      <c r="L13" s="67"/>
      <c r="M13" s="36"/>
      <c r="N13" s="35"/>
      <c r="O13" s="35"/>
      <c r="P13" s="35"/>
      <c r="Q13" s="35"/>
    </row>
    <row r="14" spans="2:18" x14ac:dyDescent="0.3">
      <c r="B14" s="20">
        <v>7</v>
      </c>
      <c r="C14" s="23" t="s">
        <v>10</v>
      </c>
      <c r="D14" s="73"/>
      <c r="E14" s="61"/>
      <c r="F14" s="60" t="b">
        <v>0</v>
      </c>
      <c r="G14" s="55"/>
      <c r="H14" s="55"/>
      <c r="J14" s="32" t="s">
        <v>57</v>
      </c>
      <c r="K14" s="81">
        <f>SUM(K3:L13)</f>
        <v>74300</v>
      </c>
      <c r="L14" s="82"/>
      <c r="M14" s="36"/>
      <c r="N14" s="35"/>
      <c r="O14" s="35"/>
      <c r="P14" s="35"/>
      <c r="Q14" s="35"/>
    </row>
    <row r="15" spans="2:18" ht="15" thickBot="1" x14ac:dyDescent="0.35">
      <c r="B15" s="21">
        <v>8</v>
      </c>
      <c r="C15" s="24" t="s">
        <v>59</v>
      </c>
      <c r="D15" s="74"/>
      <c r="E15" s="59"/>
      <c r="F15" s="50" t="b">
        <v>0</v>
      </c>
      <c r="G15" s="31"/>
      <c r="H15" s="31"/>
    </row>
    <row r="16" spans="2:18" ht="28.8" customHeight="1" thickBot="1" x14ac:dyDescent="0.35">
      <c r="B16" s="18">
        <v>9</v>
      </c>
      <c r="C16" s="25" t="s">
        <v>11</v>
      </c>
      <c r="D16" s="15">
        <v>2500</v>
      </c>
      <c r="E16" s="30"/>
      <c r="F16" t="b">
        <v>0</v>
      </c>
      <c r="G16" s="30"/>
      <c r="H16" s="30"/>
    </row>
    <row r="17" spans="2:13" ht="43.2" customHeight="1" thickBot="1" x14ac:dyDescent="0.35">
      <c r="B17" s="6">
        <v>10</v>
      </c>
      <c r="C17" s="10" t="s">
        <v>12</v>
      </c>
      <c r="D17" s="7">
        <v>2500</v>
      </c>
      <c r="E17" s="28"/>
      <c r="F17" s="48" t="b">
        <v>1</v>
      </c>
      <c r="G17" s="28">
        <v>3099</v>
      </c>
      <c r="H17" s="28">
        <v>3099</v>
      </c>
    </row>
    <row r="18" spans="2:13" ht="15" thickBot="1" x14ac:dyDescent="0.35">
      <c r="B18" s="18">
        <v>11</v>
      </c>
      <c r="C18" s="13" t="s">
        <v>13</v>
      </c>
      <c r="D18" s="15">
        <v>1000</v>
      </c>
      <c r="E18" s="30"/>
      <c r="F18" t="b">
        <v>0</v>
      </c>
      <c r="G18" s="30"/>
      <c r="H18" s="30"/>
      <c r="L18" t="s">
        <v>87</v>
      </c>
    </row>
    <row r="19" spans="2:13" ht="15" thickBot="1" x14ac:dyDescent="0.35">
      <c r="B19" s="6">
        <v>12</v>
      </c>
      <c r="C19" s="9" t="s">
        <v>14</v>
      </c>
      <c r="D19" s="7">
        <v>3000</v>
      </c>
      <c r="E19" s="28"/>
      <c r="F19" s="48" t="b">
        <v>0</v>
      </c>
      <c r="G19" s="28"/>
      <c r="H19" s="28"/>
      <c r="L19" t="s">
        <v>57</v>
      </c>
      <c r="M19">
        <v>74300</v>
      </c>
    </row>
    <row r="20" spans="2:13" ht="15" thickBot="1" x14ac:dyDescent="0.35">
      <c r="B20" s="18">
        <v>13</v>
      </c>
      <c r="C20" s="13" t="s">
        <v>15</v>
      </c>
      <c r="D20" s="15">
        <v>8000</v>
      </c>
      <c r="E20" s="30"/>
      <c r="F20" t="b">
        <v>0</v>
      </c>
      <c r="G20" s="30"/>
      <c r="H20" s="30"/>
      <c r="K20" t="s">
        <v>88</v>
      </c>
      <c r="L20" t="s">
        <v>89</v>
      </c>
      <c r="M20">
        <v>30349</v>
      </c>
    </row>
    <row r="21" spans="2:13" ht="15" thickBot="1" x14ac:dyDescent="0.35">
      <c r="B21" s="6">
        <v>14</v>
      </c>
      <c r="C21" s="9" t="s">
        <v>16</v>
      </c>
      <c r="D21" s="7">
        <v>4000</v>
      </c>
      <c r="E21" s="28"/>
      <c r="F21" s="48" t="b">
        <v>0</v>
      </c>
      <c r="G21" s="28"/>
      <c r="H21" s="28"/>
      <c r="L21" t="s">
        <v>90</v>
      </c>
      <c r="M21">
        <v>43951</v>
      </c>
    </row>
    <row r="22" spans="2:13" ht="15" thickBot="1" x14ac:dyDescent="0.35">
      <c r="B22" s="18">
        <v>15</v>
      </c>
      <c r="C22" s="13" t="s">
        <v>17</v>
      </c>
      <c r="D22" s="15">
        <v>3500</v>
      </c>
      <c r="E22" s="30"/>
      <c r="F22" t="b">
        <v>0</v>
      </c>
      <c r="G22" s="30"/>
      <c r="H22" s="30"/>
    </row>
    <row r="23" spans="2:13" ht="15" thickBot="1" x14ac:dyDescent="0.35">
      <c r="B23" s="6">
        <v>16</v>
      </c>
      <c r="C23" s="9" t="s">
        <v>18</v>
      </c>
      <c r="D23" s="7">
        <v>2000</v>
      </c>
      <c r="E23" s="28"/>
      <c r="F23" s="48" t="b">
        <v>0</v>
      </c>
      <c r="G23" s="28"/>
      <c r="H23" s="28"/>
      <c r="L23" t="s">
        <v>68</v>
      </c>
      <c r="M23">
        <v>600</v>
      </c>
    </row>
    <row r="24" spans="2:13" ht="15" thickBot="1" x14ac:dyDescent="0.35">
      <c r="B24" s="18">
        <v>17</v>
      </c>
      <c r="C24" s="13" t="s">
        <v>19</v>
      </c>
      <c r="D24" s="15">
        <v>2000</v>
      </c>
      <c r="E24" s="30"/>
      <c r="F24" t="b">
        <v>0</v>
      </c>
      <c r="G24" s="30"/>
      <c r="H24" s="30"/>
      <c r="K24" t="s">
        <v>91</v>
      </c>
      <c r="L24" t="s">
        <v>92</v>
      </c>
      <c r="M24">
        <v>716.08</v>
      </c>
    </row>
    <row r="25" spans="2:13" ht="15" thickBot="1" x14ac:dyDescent="0.35">
      <c r="B25" s="6">
        <v>18</v>
      </c>
      <c r="C25" s="9" t="s">
        <v>20</v>
      </c>
      <c r="D25" s="14">
        <v>8000</v>
      </c>
      <c r="E25" s="28"/>
      <c r="F25" s="48" t="b">
        <v>1</v>
      </c>
      <c r="G25" s="28">
        <v>8000</v>
      </c>
      <c r="H25" s="28">
        <v>1</v>
      </c>
      <c r="L25" t="s">
        <v>93</v>
      </c>
      <c r="M25">
        <v>1316.08</v>
      </c>
    </row>
    <row r="26" spans="2:13" ht="15" thickBot="1" x14ac:dyDescent="0.35">
      <c r="B26" s="75">
        <v>19</v>
      </c>
      <c r="C26" s="8" t="s">
        <v>21</v>
      </c>
      <c r="D26" s="26">
        <v>6000</v>
      </c>
      <c r="E26" s="30"/>
      <c r="F26" t="b">
        <v>0</v>
      </c>
      <c r="G26" s="30"/>
      <c r="H26" s="30"/>
      <c r="L26" t="s">
        <v>94</v>
      </c>
    </row>
    <row r="27" spans="2:13" ht="28.8" customHeight="1" thickBot="1" x14ac:dyDescent="0.35">
      <c r="B27" s="76"/>
      <c r="C27" s="41" t="s">
        <v>22</v>
      </c>
      <c r="D27" s="21">
        <v>8000</v>
      </c>
      <c r="E27" s="28"/>
      <c r="F27" s="48" t="b">
        <v>0</v>
      </c>
      <c r="G27" s="28"/>
      <c r="H27" s="28"/>
    </row>
    <row r="28" spans="2:13" ht="28.8" customHeight="1" thickBot="1" x14ac:dyDescent="0.35">
      <c r="B28" s="77">
        <v>20</v>
      </c>
      <c r="C28" s="43" t="s">
        <v>60</v>
      </c>
      <c r="D28" s="75">
        <v>7000</v>
      </c>
      <c r="E28" s="30"/>
      <c r="F28" t="b">
        <v>0</v>
      </c>
      <c r="G28" s="30"/>
      <c r="H28" s="30"/>
    </row>
    <row r="29" spans="2:13" ht="28.8" customHeight="1" thickBot="1" x14ac:dyDescent="0.35">
      <c r="B29" s="78"/>
      <c r="C29" s="44" t="s">
        <v>61</v>
      </c>
      <c r="D29" s="80"/>
      <c r="E29" s="28"/>
      <c r="F29" s="48" t="b">
        <v>1</v>
      </c>
      <c r="G29" s="28">
        <v>3000</v>
      </c>
      <c r="H29" s="28">
        <v>3529.15</v>
      </c>
    </row>
    <row r="30" spans="2:13" ht="28.8" customHeight="1" thickBot="1" x14ac:dyDescent="0.35">
      <c r="B30" s="79"/>
      <c r="C30" s="45" t="s">
        <v>62</v>
      </c>
      <c r="D30" s="76"/>
      <c r="E30" s="30"/>
      <c r="F30" t="b">
        <v>1</v>
      </c>
      <c r="G30" s="30">
        <v>4000</v>
      </c>
      <c r="H30" s="30">
        <v>4000</v>
      </c>
    </row>
    <row r="31" spans="2:13" s="38" customFormat="1" ht="28.8" customHeight="1" thickBot="1" x14ac:dyDescent="0.35">
      <c r="B31" s="39">
        <v>21</v>
      </c>
      <c r="C31" s="42" t="s">
        <v>26</v>
      </c>
      <c r="D31" s="40">
        <v>3000</v>
      </c>
      <c r="E31" s="62"/>
      <c r="F31" s="63" t="b">
        <v>0</v>
      </c>
      <c r="G31" s="62"/>
      <c r="H31" s="62"/>
    </row>
    <row r="32" spans="2:13" ht="15" thickBot="1" x14ac:dyDescent="0.35">
      <c r="B32" s="6">
        <v>22</v>
      </c>
      <c r="C32" s="11" t="s">
        <v>23</v>
      </c>
      <c r="D32" s="7">
        <v>3000</v>
      </c>
      <c r="E32" s="30"/>
      <c r="F32" t="b">
        <v>1</v>
      </c>
      <c r="G32" s="30">
        <v>3000</v>
      </c>
      <c r="H32" s="30">
        <v>3641.8</v>
      </c>
    </row>
    <row r="33" spans="2:13" ht="15" thickBot="1" x14ac:dyDescent="0.35">
      <c r="B33" s="18">
        <v>23</v>
      </c>
      <c r="C33" s="27" t="s">
        <v>24</v>
      </c>
      <c r="D33" s="15">
        <v>250</v>
      </c>
      <c r="E33" s="28"/>
      <c r="F33" s="48" t="b">
        <v>1</v>
      </c>
      <c r="G33" s="28">
        <v>250</v>
      </c>
      <c r="H33" s="28">
        <v>250</v>
      </c>
    </row>
    <row r="34" spans="2:13" ht="28.8" customHeight="1" thickBot="1" x14ac:dyDescent="0.35">
      <c r="B34" s="6">
        <v>24</v>
      </c>
      <c r="C34" s="56" t="s">
        <v>25</v>
      </c>
      <c r="D34" s="7">
        <v>1000</v>
      </c>
      <c r="E34" s="30"/>
      <c r="F34" t="b">
        <v>0</v>
      </c>
      <c r="G34" s="30"/>
      <c r="H34" s="31"/>
    </row>
    <row r="35" spans="2:13" ht="15" thickBot="1" x14ac:dyDescent="0.35">
      <c r="B35" s="70" t="s">
        <v>65</v>
      </c>
      <c r="C35" s="71"/>
      <c r="D35" s="71"/>
      <c r="E35" s="71"/>
      <c r="F35" s="48"/>
      <c r="G35" s="28">
        <f>SUM(G7:G34)</f>
        <v>30349</v>
      </c>
      <c r="H35" s="35"/>
    </row>
    <row r="36" spans="2:13" ht="14.4" hidden="1" customHeight="1" x14ac:dyDescent="0.3">
      <c r="J36" s="33" t="s">
        <v>28</v>
      </c>
      <c r="K36" s="33" t="s">
        <v>41</v>
      </c>
      <c r="L36" s="33" t="s">
        <v>43</v>
      </c>
      <c r="M36" s="33" t="s">
        <v>42</v>
      </c>
    </row>
    <row r="37" spans="2:13" ht="14.4" hidden="1" customHeight="1" x14ac:dyDescent="0.3">
      <c r="J37" s="37" t="s">
        <v>29</v>
      </c>
      <c r="K37" s="37" t="s">
        <v>66</v>
      </c>
      <c r="L37" s="37">
        <v>0</v>
      </c>
      <c r="M37" s="37">
        <v>0</v>
      </c>
    </row>
    <row r="38" spans="2:13" ht="43.2" hidden="1" x14ac:dyDescent="0.3">
      <c r="J38" s="37" t="s">
        <v>30</v>
      </c>
      <c r="K38" s="37" t="s">
        <v>66</v>
      </c>
      <c r="L38" s="37"/>
      <c r="M38" s="37">
        <v>0</v>
      </c>
    </row>
    <row r="39" spans="2:13" ht="28.8" hidden="1" x14ac:dyDescent="0.3">
      <c r="J39" s="37"/>
      <c r="K39" s="37" t="s">
        <v>78</v>
      </c>
      <c r="L39" s="37">
        <v>1</v>
      </c>
      <c r="M39" s="37">
        <v>150</v>
      </c>
    </row>
    <row r="40" spans="2:13" ht="43.2" hidden="1" x14ac:dyDescent="0.3">
      <c r="J40" s="37" t="s">
        <v>31</v>
      </c>
      <c r="K40" s="37" t="s">
        <v>67</v>
      </c>
      <c r="L40" s="37"/>
      <c r="M40" s="37">
        <v>150</v>
      </c>
    </row>
    <row r="41" spans="2:13" ht="28.8" hidden="1" x14ac:dyDescent="0.3">
      <c r="J41" s="37"/>
      <c r="K41" s="37" t="s">
        <v>78</v>
      </c>
      <c r="L41" s="37">
        <v>3</v>
      </c>
      <c r="M41" s="37">
        <v>450</v>
      </c>
    </row>
    <row r="42" spans="2:13" ht="43.2" hidden="1" x14ac:dyDescent="0.3">
      <c r="J42" s="37" t="s">
        <v>32</v>
      </c>
      <c r="K42" s="37" t="s">
        <v>68</v>
      </c>
      <c r="L42" s="37"/>
      <c r="M42" s="37">
        <v>600</v>
      </c>
    </row>
    <row r="43" spans="2:13" ht="28.8" hidden="1" x14ac:dyDescent="0.3">
      <c r="J43" s="37"/>
      <c r="K43" s="37" t="s">
        <v>78</v>
      </c>
      <c r="L43" s="37">
        <v>8</v>
      </c>
      <c r="M43" s="34">
        <v>1200</v>
      </c>
    </row>
    <row r="44" spans="2:13" ht="43.2" hidden="1" x14ac:dyDescent="0.3">
      <c r="J44" s="37" t="s">
        <v>33</v>
      </c>
      <c r="K44" s="37" t="s">
        <v>69</v>
      </c>
      <c r="L44" s="37"/>
      <c r="M44" s="34">
        <v>1800</v>
      </c>
    </row>
    <row r="45" spans="2:13" ht="28.8" hidden="1" x14ac:dyDescent="0.3">
      <c r="J45" s="37"/>
      <c r="K45" s="37" t="s">
        <v>78</v>
      </c>
      <c r="L45" s="37">
        <v>14</v>
      </c>
      <c r="M45" s="34">
        <v>2800</v>
      </c>
    </row>
    <row r="46" spans="2:13" ht="43.2" hidden="1" x14ac:dyDescent="0.3">
      <c r="J46" s="37" t="s">
        <v>34</v>
      </c>
      <c r="K46" s="37" t="s">
        <v>70</v>
      </c>
      <c r="L46" s="37"/>
      <c r="M46" s="34">
        <v>4600</v>
      </c>
    </row>
    <row r="47" spans="2:13" ht="28.8" hidden="1" x14ac:dyDescent="0.3">
      <c r="J47" s="37"/>
      <c r="K47" s="37" t="s">
        <v>78</v>
      </c>
      <c r="L47" s="37">
        <v>21</v>
      </c>
      <c r="M47" s="34">
        <v>6300</v>
      </c>
    </row>
    <row r="48" spans="2:13" ht="43.2" hidden="1" x14ac:dyDescent="0.3">
      <c r="J48" s="37" t="s">
        <v>35</v>
      </c>
      <c r="K48" s="37" t="s">
        <v>71</v>
      </c>
      <c r="L48" s="37"/>
      <c r="M48" s="34">
        <v>10900</v>
      </c>
    </row>
    <row r="49" spans="10:13" ht="28.8" hidden="1" x14ac:dyDescent="0.3">
      <c r="J49" s="37"/>
      <c r="K49" s="37" t="s">
        <v>78</v>
      </c>
      <c r="L49" s="37">
        <v>24</v>
      </c>
      <c r="M49" s="34">
        <v>36000</v>
      </c>
    </row>
    <row r="50" spans="10:13" ht="43.2" hidden="1" x14ac:dyDescent="0.3">
      <c r="J50" s="37" t="s">
        <v>36</v>
      </c>
      <c r="K50" s="37" t="s">
        <v>72</v>
      </c>
      <c r="L50" s="37"/>
      <c r="M50" s="34">
        <v>46900</v>
      </c>
    </row>
    <row r="51" spans="10:13" ht="28.8" hidden="1" x14ac:dyDescent="0.3">
      <c r="J51" s="37"/>
      <c r="K51" s="37" t="s">
        <v>78</v>
      </c>
      <c r="L51" s="37">
        <v>24.5</v>
      </c>
      <c r="M51" s="34">
        <v>36750</v>
      </c>
    </row>
    <row r="52" spans="10:13" ht="43.2" hidden="1" x14ac:dyDescent="0.3">
      <c r="J52" s="37" t="s">
        <v>37</v>
      </c>
      <c r="K52" s="37" t="s">
        <v>73</v>
      </c>
      <c r="L52" s="37"/>
      <c r="M52" s="34">
        <v>83650</v>
      </c>
    </row>
    <row r="53" spans="10:13" ht="28.8" hidden="1" x14ac:dyDescent="0.3">
      <c r="J53" s="37"/>
      <c r="K53" s="37" t="s">
        <v>78</v>
      </c>
      <c r="L53" s="37">
        <v>25</v>
      </c>
      <c r="M53" s="34">
        <v>50000</v>
      </c>
    </row>
    <row r="54" spans="10:13" ht="43.2" hidden="1" x14ac:dyDescent="0.3">
      <c r="J54" s="37" t="s">
        <v>38</v>
      </c>
      <c r="K54" s="37" t="s">
        <v>74</v>
      </c>
      <c r="L54" s="37"/>
      <c r="M54" s="34">
        <v>133650</v>
      </c>
    </row>
    <row r="55" spans="10:13" ht="28.8" hidden="1" x14ac:dyDescent="0.3">
      <c r="J55" s="37"/>
      <c r="K55" s="37" t="s">
        <v>78</v>
      </c>
      <c r="L55" s="37">
        <v>26</v>
      </c>
      <c r="M55" s="34">
        <v>104000</v>
      </c>
    </row>
    <row r="56" spans="10:13" ht="57.6" hidden="1" x14ac:dyDescent="0.3">
      <c r="J56" s="37" t="s">
        <v>39</v>
      </c>
      <c r="K56" s="37" t="s">
        <v>75</v>
      </c>
      <c r="L56" s="37"/>
      <c r="M56" s="34">
        <v>237650</v>
      </c>
    </row>
    <row r="57" spans="10:13" ht="28.8" hidden="1" x14ac:dyDescent="0.3">
      <c r="J57" s="37"/>
      <c r="K57" s="37" t="s">
        <v>78</v>
      </c>
      <c r="L57" s="37">
        <v>28</v>
      </c>
      <c r="M57" s="34">
        <v>280000</v>
      </c>
    </row>
    <row r="58" spans="10:13" ht="57.6" hidden="1" x14ac:dyDescent="0.3">
      <c r="J58" s="37" t="s">
        <v>40</v>
      </c>
      <c r="K58" s="37" t="s">
        <v>76</v>
      </c>
      <c r="L58" s="37"/>
      <c r="M58" s="34">
        <v>517650</v>
      </c>
    </row>
    <row r="59" spans="10:13" ht="28.8" hidden="1" x14ac:dyDescent="0.3">
      <c r="J59" s="37"/>
      <c r="K59" s="37" t="s">
        <v>77</v>
      </c>
      <c r="L59" s="37">
        <v>30</v>
      </c>
      <c r="M59" s="37" t="s">
        <v>44</v>
      </c>
    </row>
  </sheetData>
  <mergeCells count="19">
    <mergeCell ref="B35:E35"/>
    <mergeCell ref="K9:L9"/>
    <mergeCell ref="D13:D15"/>
    <mergeCell ref="B8:B9"/>
    <mergeCell ref="B26:B27"/>
    <mergeCell ref="B28:B30"/>
    <mergeCell ref="D28:D30"/>
    <mergeCell ref="K14:L14"/>
    <mergeCell ref="K13:L13"/>
    <mergeCell ref="K12:L12"/>
    <mergeCell ref="K11:L11"/>
    <mergeCell ref="K10:L10"/>
    <mergeCell ref="K3:L3"/>
    <mergeCell ref="K2:L2"/>
    <mergeCell ref="K8:L8"/>
    <mergeCell ref="K7:L7"/>
    <mergeCell ref="K6:L6"/>
    <mergeCell ref="K5:L5"/>
    <mergeCell ref="K4:L4"/>
  </mergeCells>
  <hyperlinks>
    <hyperlink ref="C5" r:id="rId1" xr:uid="{1C14226F-7620-43F9-A000-351826145FA7}"/>
    <hyperlink ref="C34" r:id="rId2" xr:uid="{7F18939D-4D7F-44B8-9979-0C3BD28D2781}"/>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59" r:id="rId5" name="Check Box 35">
              <controlPr defaultSize="0" autoFill="0" autoLine="0" autoPict="0" macro="[0]!CheckBox35_Click">
                <anchor moveWithCells="1">
                  <from>
                    <xdr:col>4</xdr:col>
                    <xdr:colOff>15240</xdr:colOff>
                    <xdr:row>5</xdr:row>
                    <xdr:rowOff>182880</xdr:rowOff>
                  </from>
                  <to>
                    <xdr:col>4</xdr:col>
                    <xdr:colOff>342900</xdr:colOff>
                    <xdr:row>7</xdr:row>
                    <xdr:rowOff>22860</xdr:rowOff>
                  </to>
                </anchor>
              </controlPr>
            </control>
          </mc:Choice>
        </mc:AlternateContent>
        <mc:AlternateContent xmlns:mc="http://schemas.openxmlformats.org/markup-compatibility/2006">
          <mc:Choice Requires="x14">
            <control shapeId="1060" r:id="rId6" name="Check Box 36">
              <controlPr defaultSize="0" autoFill="0" autoLine="0" autoPict="0" macro="[0]!CheckBox36_Click">
                <anchor moveWithCells="1">
                  <from>
                    <xdr:col>4</xdr:col>
                    <xdr:colOff>15240</xdr:colOff>
                    <xdr:row>6</xdr:row>
                    <xdr:rowOff>175260</xdr:rowOff>
                  </from>
                  <to>
                    <xdr:col>4</xdr:col>
                    <xdr:colOff>342900</xdr:colOff>
                    <xdr:row>8</xdr:row>
                    <xdr:rowOff>22860</xdr:rowOff>
                  </to>
                </anchor>
              </controlPr>
            </control>
          </mc:Choice>
        </mc:AlternateContent>
        <mc:AlternateContent xmlns:mc="http://schemas.openxmlformats.org/markup-compatibility/2006">
          <mc:Choice Requires="x14">
            <control shapeId="1062" r:id="rId7" name="Check Box 38">
              <controlPr defaultSize="0" autoFill="0" autoLine="0" autoPict="0" macro="[0]!CheckBox38_Click">
                <anchor moveWithCells="1">
                  <from>
                    <xdr:col>4</xdr:col>
                    <xdr:colOff>15240</xdr:colOff>
                    <xdr:row>8</xdr:row>
                    <xdr:rowOff>182880</xdr:rowOff>
                  </from>
                  <to>
                    <xdr:col>4</xdr:col>
                    <xdr:colOff>342900</xdr:colOff>
                    <xdr:row>10</xdr:row>
                    <xdr:rowOff>22860</xdr:rowOff>
                  </to>
                </anchor>
              </controlPr>
            </control>
          </mc:Choice>
        </mc:AlternateContent>
        <mc:AlternateContent xmlns:mc="http://schemas.openxmlformats.org/markup-compatibility/2006">
          <mc:Choice Requires="x14">
            <control shapeId="1063" r:id="rId8" name="Check Box 39">
              <controlPr defaultSize="0" autoFill="0" autoLine="0" autoPict="0" macro="[0]!CheckBox39_Click">
                <anchor moveWithCells="1">
                  <from>
                    <xdr:col>4</xdr:col>
                    <xdr:colOff>15240</xdr:colOff>
                    <xdr:row>9</xdr:row>
                    <xdr:rowOff>175260</xdr:rowOff>
                  </from>
                  <to>
                    <xdr:col>4</xdr:col>
                    <xdr:colOff>342900</xdr:colOff>
                    <xdr:row>11</xdr:row>
                    <xdr:rowOff>15240</xdr:rowOff>
                  </to>
                </anchor>
              </controlPr>
            </control>
          </mc:Choice>
        </mc:AlternateContent>
        <mc:AlternateContent xmlns:mc="http://schemas.openxmlformats.org/markup-compatibility/2006">
          <mc:Choice Requires="x14">
            <control shapeId="1064" r:id="rId9" name="Check Box 40">
              <controlPr defaultSize="0" autoFill="0" autoLine="0" autoPict="0" macro="[0]!CheckBox40_Click">
                <anchor moveWithCells="1">
                  <from>
                    <xdr:col>4</xdr:col>
                    <xdr:colOff>15240</xdr:colOff>
                    <xdr:row>10</xdr:row>
                    <xdr:rowOff>175260</xdr:rowOff>
                  </from>
                  <to>
                    <xdr:col>4</xdr:col>
                    <xdr:colOff>342900</xdr:colOff>
                    <xdr:row>12</xdr:row>
                    <xdr:rowOff>15240</xdr:rowOff>
                  </to>
                </anchor>
              </controlPr>
            </control>
          </mc:Choice>
        </mc:AlternateContent>
        <mc:AlternateContent xmlns:mc="http://schemas.openxmlformats.org/markup-compatibility/2006">
          <mc:Choice Requires="x14">
            <control shapeId="1065" r:id="rId10" name="Check Box 41">
              <controlPr defaultSize="0" autoFill="0" autoLine="0" autoPict="0" macro="[0]!CheckBox41_Click">
                <anchor moveWithCells="1">
                  <from>
                    <xdr:col>4</xdr:col>
                    <xdr:colOff>15240</xdr:colOff>
                    <xdr:row>15</xdr:row>
                    <xdr:rowOff>76200</xdr:rowOff>
                  </from>
                  <to>
                    <xdr:col>4</xdr:col>
                    <xdr:colOff>342900</xdr:colOff>
                    <xdr:row>15</xdr:row>
                    <xdr:rowOff>297180</xdr:rowOff>
                  </to>
                </anchor>
              </controlPr>
            </control>
          </mc:Choice>
        </mc:AlternateContent>
        <mc:AlternateContent xmlns:mc="http://schemas.openxmlformats.org/markup-compatibility/2006">
          <mc:Choice Requires="x14">
            <control shapeId="1066" r:id="rId11" name="Check Box 42">
              <controlPr defaultSize="0" autoFill="0" autoLine="0" autoPict="0" macro="[0]!CheckBox42_Click">
                <anchor moveWithCells="1">
                  <from>
                    <xdr:col>4</xdr:col>
                    <xdr:colOff>15240</xdr:colOff>
                    <xdr:row>12</xdr:row>
                    <xdr:rowOff>167640</xdr:rowOff>
                  </from>
                  <to>
                    <xdr:col>4</xdr:col>
                    <xdr:colOff>342900</xdr:colOff>
                    <xdr:row>14</xdr:row>
                    <xdr:rowOff>22860</xdr:rowOff>
                  </to>
                </anchor>
              </controlPr>
            </control>
          </mc:Choice>
        </mc:AlternateContent>
        <mc:AlternateContent xmlns:mc="http://schemas.openxmlformats.org/markup-compatibility/2006">
          <mc:Choice Requires="x14">
            <control shapeId="1067" r:id="rId12" name="Check Box 43">
              <controlPr defaultSize="0" autoFill="0" autoLine="0" autoPict="0" macro="[0]!CheckBox43_Click">
                <anchor moveWithCells="1">
                  <from>
                    <xdr:col>4</xdr:col>
                    <xdr:colOff>15240</xdr:colOff>
                    <xdr:row>16</xdr:row>
                    <xdr:rowOff>175260</xdr:rowOff>
                  </from>
                  <to>
                    <xdr:col>4</xdr:col>
                    <xdr:colOff>342900</xdr:colOff>
                    <xdr:row>16</xdr:row>
                    <xdr:rowOff>396240</xdr:rowOff>
                  </to>
                </anchor>
              </controlPr>
            </control>
          </mc:Choice>
        </mc:AlternateContent>
        <mc:AlternateContent xmlns:mc="http://schemas.openxmlformats.org/markup-compatibility/2006">
          <mc:Choice Requires="x14">
            <control shapeId="1068" r:id="rId13" name="Check Box 44">
              <controlPr defaultSize="0" autoFill="0" autoLine="0" autoPict="0" macro="[0]!CheckBox44_Click">
                <anchor moveWithCells="1">
                  <from>
                    <xdr:col>4</xdr:col>
                    <xdr:colOff>15240</xdr:colOff>
                    <xdr:row>16</xdr:row>
                    <xdr:rowOff>541020</xdr:rowOff>
                  </from>
                  <to>
                    <xdr:col>4</xdr:col>
                    <xdr:colOff>342900</xdr:colOff>
                    <xdr:row>18</xdr:row>
                    <xdr:rowOff>22860</xdr:rowOff>
                  </to>
                </anchor>
              </controlPr>
            </control>
          </mc:Choice>
        </mc:AlternateContent>
        <mc:AlternateContent xmlns:mc="http://schemas.openxmlformats.org/markup-compatibility/2006">
          <mc:Choice Requires="x14">
            <control shapeId="1071" r:id="rId14" name="Check Box 47">
              <controlPr defaultSize="0" autoFill="0" autoLine="0" autoPict="0" macro="[0]!CheckBox47_Click">
                <anchor moveWithCells="1">
                  <from>
                    <xdr:col>4</xdr:col>
                    <xdr:colOff>15240</xdr:colOff>
                    <xdr:row>17</xdr:row>
                    <xdr:rowOff>175260</xdr:rowOff>
                  </from>
                  <to>
                    <xdr:col>4</xdr:col>
                    <xdr:colOff>342900</xdr:colOff>
                    <xdr:row>19</xdr:row>
                    <xdr:rowOff>15240</xdr:rowOff>
                  </to>
                </anchor>
              </controlPr>
            </control>
          </mc:Choice>
        </mc:AlternateContent>
        <mc:AlternateContent xmlns:mc="http://schemas.openxmlformats.org/markup-compatibility/2006">
          <mc:Choice Requires="x14">
            <control shapeId="1072" r:id="rId15" name="Check Box 48">
              <controlPr defaultSize="0" autoFill="0" autoLine="0" autoPict="0" macro="[0]!CheckBox48_Click">
                <anchor moveWithCells="1">
                  <from>
                    <xdr:col>4</xdr:col>
                    <xdr:colOff>15240</xdr:colOff>
                    <xdr:row>18</xdr:row>
                    <xdr:rowOff>175260</xdr:rowOff>
                  </from>
                  <to>
                    <xdr:col>4</xdr:col>
                    <xdr:colOff>342900</xdr:colOff>
                    <xdr:row>20</xdr:row>
                    <xdr:rowOff>15240</xdr:rowOff>
                  </to>
                </anchor>
              </controlPr>
            </control>
          </mc:Choice>
        </mc:AlternateContent>
        <mc:AlternateContent xmlns:mc="http://schemas.openxmlformats.org/markup-compatibility/2006">
          <mc:Choice Requires="x14">
            <control shapeId="1073" r:id="rId16" name="Check Box 49">
              <controlPr defaultSize="0" autoFill="0" autoLine="0" autoPict="0" macro="[0]!CheckBox49_Click">
                <anchor moveWithCells="1">
                  <from>
                    <xdr:col>4</xdr:col>
                    <xdr:colOff>15240</xdr:colOff>
                    <xdr:row>19</xdr:row>
                    <xdr:rowOff>182880</xdr:rowOff>
                  </from>
                  <to>
                    <xdr:col>4</xdr:col>
                    <xdr:colOff>342900</xdr:colOff>
                    <xdr:row>21</xdr:row>
                    <xdr:rowOff>22860</xdr:rowOff>
                  </to>
                </anchor>
              </controlPr>
            </control>
          </mc:Choice>
        </mc:AlternateContent>
        <mc:AlternateContent xmlns:mc="http://schemas.openxmlformats.org/markup-compatibility/2006">
          <mc:Choice Requires="x14">
            <control shapeId="1074" r:id="rId17" name="Check Box 50">
              <controlPr defaultSize="0" autoFill="0" autoLine="0" autoPict="0" macro="[0]!CheckBox50_Click">
                <anchor moveWithCells="1">
                  <from>
                    <xdr:col>4</xdr:col>
                    <xdr:colOff>15240</xdr:colOff>
                    <xdr:row>20</xdr:row>
                    <xdr:rowOff>175260</xdr:rowOff>
                  </from>
                  <to>
                    <xdr:col>4</xdr:col>
                    <xdr:colOff>342900</xdr:colOff>
                    <xdr:row>22</xdr:row>
                    <xdr:rowOff>15240</xdr:rowOff>
                  </to>
                </anchor>
              </controlPr>
            </control>
          </mc:Choice>
        </mc:AlternateContent>
        <mc:AlternateContent xmlns:mc="http://schemas.openxmlformats.org/markup-compatibility/2006">
          <mc:Choice Requires="x14">
            <control shapeId="1075" r:id="rId18" name="Check Box 51">
              <controlPr defaultSize="0" autoFill="0" autoLine="0" autoPict="0" macro="[0]!CheckBox51_Click">
                <anchor moveWithCells="1">
                  <from>
                    <xdr:col>4</xdr:col>
                    <xdr:colOff>15240</xdr:colOff>
                    <xdr:row>21</xdr:row>
                    <xdr:rowOff>182880</xdr:rowOff>
                  </from>
                  <to>
                    <xdr:col>4</xdr:col>
                    <xdr:colOff>342900</xdr:colOff>
                    <xdr:row>23</xdr:row>
                    <xdr:rowOff>22860</xdr:rowOff>
                  </to>
                </anchor>
              </controlPr>
            </control>
          </mc:Choice>
        </mc:AlternateContent>
        <mc:AlternateContent xmlns:mc="http://schemas.openxmlformats.org/markup-compatibility/2006">
          <mc:Choice Requires="x14">
            <control shapeId="1076" r:id="rId19" name="Check Box 52">
              <controlPr defaultSize="0" autoFill="0" autoLine="0" autoPict="0" macro="[0]!CheckBox52_Click">
                <anchor moveWithCells="1">
                  <from>
                    <xdr:col>4</xdr:col>
                    <xdr:colOff>15240</xdr:colOff>
                    <xdr:row>22</xdr:row>
                    <xdr:rowOff>182880</xdr:rowOff>
                  </from>
                  <to>
                    <xdr:col>4</xdr:col>
                    <xdr:colOff>342900</xdr:colOff>
                    <xdr:row>24</xdr:row>
                    <xdr:rowOff>22860</xdr:rowOff>
                  </to>
                </anchor>
              </controlPr>
            </control>
          </mc:Choice>
        </mc:AlternateContent>
        <mc:AlternateContent xmlns:mc="http://schemas.openxmlformats.org/markup-compatibility/2006">
          <mc:Choice Requires="x14">
            <control shapeId="1077" r:id="rId20" name="Check Box 53">
              <controlPr defaultSize="0" autoFill="0" autoLine="0" autoPict="0" macro="[0]!CheckBox53_Click">
                <anchor moveWithCells="1">
                  <from>
                    <xdr:col>4</xdr:col>
                    <xdr:colOff>15240</xdr:colOff>
                    <xdr:row>23</xdr:row>
                    <xdr:rowOff>182880</xdr:rowOff>
                  </from>
                  <to>
                    <xdr:col>4</xdr:col>
                    <xdr:colOff>342900</xdr:colOff>
                    <xdr:row>25</xdr:row>
                    <xdr:rowOff>22860</xdr:rowOff>
                  </to>
                </anchor>
              </controlPr>
            </control>
          </mc:Choice>
        </mc:AlternateContent>
        <mc:AlternateContent xmlns:mc="http://schemas.openxmlformats.org/markup-compatibility/2006">
          <mc:Choice Requires="x14">
            <control shapeId="1078" r:id="rId21" name="Check Box 54">
              <controlPr defaultSize="0" autoFill="0" autoLine="0" autoPict="0" macro="[0]!CheckBox54_Click">
                <anchor moveWithCells="1">
                  <from>
                    <xdr:col>4</xdr:col>
                    <xdr:colOff>15240</xdr:colOff>
                    <xdr:row>24</xdr:row>
                    <xdr:rowOff>167640</xdr:rowOff>
                  </from>
                  <to>
                    <xdr:col>4</xdr:col>
                    <xdr:colOff>342900</xdr:colOff>
                    <xdr:row>26</xdr:row>
                    <xdr:rowOff>7620</xdr:rowOff>
                  </to>
                </anchor>
              </controlPr>
            </control>
          </mc:Choice>
        </mc:AlternateContent>
        <mc:AlternateContent xmlns:mc="http://schemas.openxmlformats.org/markup-compatibility/2006">
          <mc:Choice Requires="x14">
            <control shapeId="1079" r:id="rId22" name="Check Box 55">
              <controlPr defaultSize="0" autoFill="0" autoLine="0" autoPict="0" macro="[0]!CheckBox55_Click">
                <anchor moveWithCells="1">
                  <from>
                    <xdr:col>4</xdr:col>
                    <xdr:colOff>15240</xdr:colOff>
                    <xdr:row>26</xdr:row>
                    <xdr:rowOff>83820</xdr:rowOff>
                  </from>
                  <to>
                    <xdr:col>4</xdr:col>
                    <xdr:colOff>342900</xdr:colOff>
                    <xdr:row>26</xdr:row>
                    <xdr:rowOff>304800</xdr:rowOff>
                  </to>
                </anchor>
              </controlPr>
            </control>
          </mc:Choice>
        </mc:AlternateContent>
        <mc:AlternateContent xmlns:mc="http://schemas.openxmlformats.org/markup-compatibility/2006">
          <mc:Choice Requires="x14">
            <control shapeId="1080" r:id="rId23" name="Check Box 56">
              <controlPr defaultSize="0" autoFill="0" autoLine="0" autoPict="0" macro="[0]!CheckBox56_Click">
                <anchor moveWithCells="1">
                  <from>
                    <xdr:col>4</xdr:col>
                    <xdr:colOff>15240</xdr:colOff>
                    <xdr:row>30</xdr:row>
                    <xdr:rowOff>60960</xdr:rowOff>
                  </from>
                  <to>
                    <xdr:col>4</xdr:col>
                    <xdr:colOff>342900</xdr:colOff>
                    <xdr:row>30</xdr:row>
                    <xdr:rowOff>304800</xdr:rowOff>
                  </to>
                </anchor>
              </controlPr>
            </control>
          </mc:Choice>
        </mc:AlternateContent>
        <mc:AlternateContent xmlns:mc="http://schemas.openxmlformats.org/markup-compatibility/2006">
          <mc:Choice Requires="x14">
            <control shapeId="1081" r:id="rId24" name="Check Box 57">
              <controlPr defaultSize="0" autoFill="0" autoLine="0" autoPict="0" macro="[0]!CheckBox57_Click">
                <anchor moveWithCells="1">
                  <from>
                    <xdr:col>4</xdr:col>
                    <xdr:colOff>15240</xdr:colOff>
                    <xdr:row>27</xdr:row>
                    <xdr:rowOff>76200</xdr:rowOff>
                  </from>
                  <to>
                    <xdr:col>4</xdr:col>
                    <xdr:colOff>342900</xdr:colOff>
                    <xdr:row>27</xdr:row>
                    <xdr:rowOff>297180</xdr:rowOff>
                  </to>
                </anchor>
              </controlPr>
            </control>
          </mc:Choice>
        </mc:AlternateContent>
        <mc:AlternateContent xmlns:mc="http://schemas.openxmlformats.org/markup-compatibility/2006">
          <mc:Choice Requires="x14">
            <control shapeId="1082" r:id="rId25" name="Check Box 58">
              <controlPr defaultSize="0" autoFill="0" autoLine="0" autoPict="0" macro="[0]!CheckBox58_Click">
                <anchor moveWithCells="1">
                  <from>
                    <xdr:col>4</xdr:col>
                    <xdr:colOff>15240</xdr:colOff>
                    <xdr:row>31</xdr:row>
                    <xdr:rowOff>0</xdr:rowOff>
                  </from>
                  <to>
                    <xdr:col>4</xdr:col>
                    <xdr:colOff>342900</xdr:colOff>
                    <xdr:row>32</xdr:row>
                    <xdr:rowOff>30480</xdr:rowOff>
                  </to>
                </anchor>
              </controlPr>
            </control>
          </mc:Choice>
        </mc:AlternateContent>
        <mc:AlternateContent xmlns:mc="http://schemas.openxmlformats.org/markup-compatibility/2006">
          <mc:Choice Requires="x14">
            <control shapeId="1083" r:id="rId26" name="Check Box 59">
              <controlPr defaultSize="0" autoFill="0" autoLine="0" autoPict="0" macro="[0]!CheckBox59_Click">
                <anchor moveWithCells="1">
                  <from>
                    <xdr:col>4</xdr:col>
                    <xdr:colOff>15240</xdr:colOff>
                    <xdr:row>31</xdr:row>
                    <xdr:rowOff>175260</xdr:rowOff>
                  </from>
                  <to>
                    <xdr:col>4</xdr:col>
                    <xdr:colOff>342900</xdr:colOff>
                    <xdr:row>33</xdr:row>
                    <xdr:rowOff>15240</xdr:rowOff>
                  </to>
                </anchor>
              </controlPr>
            </control>
          </mc:Choice>
        </mc:AlternateContent>
        <mc:AlternateContent xmlns:mc="http://schemas.openxmlformats.org/markup-compatibility/2006">
          <mc:Choice Requires="x14">
            <control shapeId="1084" r:id="rId27" name="Check Box 60">
              <controlPr defaultSize="0" autoFill="0" autoLine="0" autoPict="0" macro="[0]!CheckBox60_Click">
                <anchor moveWithCells="1">
                  <from>
                    <xdr:col>4</xdr:col>
                    <xdr:colOff>15240</xdr:colOff>
                    <xdr:row>33</xdr:row>
                    <xdr:rowOff>45720</xdr:rowOff>
                  </from>
                  <to>
                    <xdr:col>4</xdr:col>
                    <xdr:colOff>342900</xdr:colOff>
                    <xdr:row>33</xdr:row>
                    <xdr:rowOff>297180</xdr:rowOff>
                  </to>
                </anchor>
              </controlPr>
            </control>
          </mc:Choice>
        </mc:AlternateContent>
        <mc:AlternateContent xmlns:mc="http://schemas.openxmlformats.org/markup-compatibility/2006">
          <mc:Choice Requires="x14">
            <control shapeId="1085" r:id="rId28" name="Check Box 61">
              <controlPr defaultSize="0" autoFill="0" autoLine="0" autoPict="0" macro="[0]!CheckBox61_Click">
                <anchor moveWithCells="1">
                  <from>
                    <xdr:col>4</xdr:col>
                    <xdr:colOff>15240</xdr:colOff>
                    <xdr:row>13</xdr:row>
                    <xdr:rowOff>167640</xdr:rowOff>
                  </from>
                  <to>
                    <xdr:col>4</xdr:col>
                    <xdr:colOff>342900</xdr:colOff>
                    <xdr:row>15</xdr:row>
                    <xdr:rowOff>15240</xdr:rowOff>
                  </to>
                </anchor>
              </controlPr>
            </control>
          </mc:Choice>
        </mc:AlternateContent>
        <mc:AlternateContent xmlns:mc="http://schemas.openxmlformats.org/markup-compatibility/2006">
          <mc:Choice Requires="x14">
            <control shapeId="1086" r:id="rId29" name="Check Box 62">
              <controlPr defaultSize="0" autoFill="0" autoLine="0" autoPict="0" macro="[0]!CheckBox62_Click">
                <anchor moveWithCells="1">
                  <from>
                    <xdr:col>4</xdr:col>
                    <xdr:colOff>15240</xdr:colOff>
                    <xdr:row>7</xdr:row>
                    <xdr:rowOff>167640</xdr:rowOff>
                  </from>
                  <to>
                    <xdr:col>4</xdr:col>
                    <xdr:colOff>342900</xdr:colOff>
                    <xdr:row>9</xdr:row>
                    <xdr:rowOff>15240</xdr:rowOff>
                  </to>
                </anchor>
              </controlPr>
            </control>
          </mc:Choice>
        </mc:AlternateContent>
        <mc:AlternateContent xmlns:mc="http://schemas.openxmlformats.org/markup-compatibility/2006">
          <mc:Choice Requires="x14">
            <control shapeId="1087" r:id="rId30" name="Check Box 63">
              <controlPr defaultSize="0" autoFill="0" autoLine="0" autoPict="0" macro="[0]!CheckBox63_Click">
                <anchor moveWithCells="1">
                  <from>
                    <xdr:col>4</xdr:col>
                    <xdr:colOff>22860</xdr:colOff>
                    <xdr:row>28</xdr:row>
                    <xdr:rowOff>60960</xdr:rowOff>
                  </from>
                  <to>
                    <xdr:col>4</xdr:col>
                    <xdr:colOff>350520</xdr:colOff>
                    <xdr:row>28</xdr:row>
                    <xdr:rowOff>281940</xdr:rowOff>
                  </to>
                </anchor>
              </controlPr>
            </control>
          </mc:Choice>
        </mc:AlternateContent>
        <mc:AlternateContent xmlns:mc="http://schemas.openxmlformats.org/markup-compatibility/2006">
          <mc:Choice Requires="x14">
            <control shapeId="1088" r:id="rId31" name="Check Box 64">
              <controlPr defaultSize="0" autoFill="0" autoLine="0" autoPict="0" macro="[0]!CheckBox64_Click">
                <anchor moveWithCells="1">
                  <from>
                    <xdr:col>4</xdr:col>
                    <xdr:colOff>22860</xdr:colOff>
                    <xdr:row>29</xdr:row>
                    <xdr:rowOff>68580</xdr:rowOff>
                  </from>
                  <to>
                    <xdr:col>4</xdr:col>
                    <xdr:colOff>350520</xdr:colOff>
                    <xdr:row>29</xdr:row>
                    <xdr:rowOff>289560</xdr:rowOff>
                  </to>
                </anchor>
              </controlPr>
            </control>
          </mc:Choice>
        </mc:AlternateContent>
        <mc:AlternateContent xmlns:mc="http://schemas.openxmlformats.org/markup-compatibility/2006">
          <mc:Choice Requires="x14">
            <control shapeId="1091" r:id="rId32" name="Generate Summary">
              <controlPr defaultSize="0" print="0" autoFill="0" autoPict="0" macro="[0]!Button67_Click" altText="Generate Summary">
                <anchor moveWithCells="1" sizeWithCells="1">
                  <from>
                    <xdr:col>9</xdr:col>
                    <xdr:colOff>53340</xdr:colOff>
                    <xdr:row>15</xdr:row>
                    <xdr:rowOff>15240</xdr:rowOff>
                  </from>
                  <to>
                    <xdr:col>9</xdr:col>
                    <xdr:colOff>1272540</xdr:colOff>
                    <xdr:row>15</xdr:row>
                    <xdr:rowOff>335280</xdr:rowOff>
                  </to>
                </anchor>
              </controlPr>
            </control>
          </mc:Choice>
        </mc:AlternateContent>
        <mc:AlternateContent xmlns:mc="http://schemas.openxmlformats.org/markup-compatibility/2006">
          <mc:Choice Requires="x14">
            <control shapeId="1093" r:id="rId33" name="Reset All">
              <controlPr defaultSize="0" print="0" autoFill="0" autoPict="0" macro="[0]!Button69_Click">
                <anchor moveWithCells="1" sizeWithCells="1">
                  <from>
                    <xdr:col>9</xdr:col>
                    <xdr:colOff>281940</xdr:colOff>
                    <xdr:row>16</xdr:row>
                    <xdr:rowOff>121920</xdr:rowOff>
                  </from>
                  <to>
                    <xdr:col>9</xdr:col>
                    <xdr:colOff>1074420</xdr:colOff>
                    <xdr:row>16</xdr:row>
                    <xdr:rowOff>419100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Yin Yuen</dc:creator>
  <cp:lastModifiedBy>Yin Yuen</cp:lastModifiedBy>
  <dcterms:created xsi:type="dcterms:W3CDTF">2021-08-31T14:44:36Z</dcterms:created>
  <dcterms:modified xsi:type="dcterms:W3CDTF">2021-09-05T07:46:23Z</dcterms:modified>
</cp:coreProperties>
</file>